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6"/>
  <workbookPr/>
  <mc:AlternateContent xmlns:mc="http://schemas.openxmlformats.org/markup-compatibility/2006">
    <mc:Choice Requires="x15">
      <x15ac:absPath xmlns:x15ac="http://schemas.microsoft.com/office/spreadsheetml/2010/11/ac" url="C:\Users\kwood\Dropbox\PhD\Data\"/>
    </mc:Choice>
  </mc:AlternateContent>
  <xr:revisionPtr revIDLastSave="0" documentId="13_ncr:1_{E71D3735-1050-4BC1-BE80-E5D31405B7ED}" xr6:coauthVersionLast="36" xr6:coauthVersionMax="43" xr10:uidLastSave="{00000000-0000-0000-0000-000000000000}"/>
  <bookViews>
    <workbookView xWindow="0" yWindow="465" windowWidth="28800" windowHeight="16260" activeTab="7" xr2:uid="{00000000-000D-0000-FFFF-FFFF00000000}"/>
  </bookViews>
  <sheets>
    <sheet name="Control " sheetId="1" r:id="rId1"/>
    <sheet name="Experiment" sheetId="2" r:id="rId2"/>
    <sheet name="Composite" sheetId="5" r:id="rId3"/>
    <sheet name="Composite No Lines" sheetId="8" r:id="rId4"/>
    <sheet name="ID" sheetId="6" r:id="rId5"/>
    <sheet name="Legend" sheetId="4" r:id="rId6"/>
    <sheet name="Notes" sheetId="7" r:id="rId7"/>
    <sheet name="Transposed Data" sheetId="9" r:id="rId8"/>
    <sheet name="Sheet1" sheetId="10" r:id="rId9"/>
  </sheets>
  <definedNames>
    <definedName name="_xlnm._FilterDatabase" localSheetId="4" hidden="1">ID!$A$1:$D$55</definedName>
    <definedName name="_xlnm._FilterDatabase" localSheetId="7" hidden="1">'Transposed Data'!$A$1:$CO$69</definedName>
    <definedName name="_xlnm.Print_Area" localSheetId="5">Legend!$A$1:$G$127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K71" i="9" l="1"/>
  <c r="CF71" i="9"/>
  <c r="CC71" i="9"/>
  <c r="BX71" i="9"/>
  <c r="BU71" i="9"/>
  <c r="BQ71" i="9"/>
  <c r="BL71" i="9"/>
  <c r="A1" i="10"/>
  <c r="CK70" i="9"/>
  <c r="CF70" i="9"/>
  <c r="CC70" i="9"/>
  <c r="BX70" i="9"/>
  <c r="BU70" i="9"/>
  <c r="BQ70" i="9"/>
  <c r="BL70" i="9"/>
  <c r="BK22" i="9"/>
  <c r="S22" i="9"/>
  <c r="Y22" i="9"/>
  <c r="AB22" i="9"/>
  <c r="AE22" i="9"/>
  <c r="AH22" i="9"/>
  <c r="AK22" i="9"/>
  <c r="AN22" i="9"/>
  <c r="AQ22" i="9"/>
  <c r="AT22" i="9"/>
  <c r="AW22" i="9"/>
  <c r="AZ22" i="9"/>
  <c r="BC22" i="9"/>
  <c r="BH22" i="9"/>
  <c r="BE22" i="9"/>
  <c r="M22" i="9"/>
  <c r="BK64" i="9"/>
  <c r="S64" i="9"/>
  <c r="V64" i="9"/>
  <c r="Y64" i="9"/>
  <c r="AB64" i="9"/>
  <c r="AE64" i="9"/>
  <c r="AH64" i="9"/>
  <c r="AK64" i="9"/>
  <c r="AN64" i="9"/>
  <c r="AQ64" i="9"/>
  <c r="AT64" i="9"/>
  <c r="AW64" i="9"/>
  <c r="AZ64" i="9"/>
  <c r="BC64" i="9"/>
  <c r="BH64" i="9"/>
  <c r="BE64" i="9"/>
  <c r="M64" i="9"/>
  <c r="BK62" i="9"/>
  <c r="S62" i="9"/>
  <c r="V62" i="9"/>
  <c r="Y62" i="9"/>
  <c r="AB62" i="9"/>
  <c r="AE62" i="9"/>
  <c r="AH62" i="9"/>
  <c r="AK62" i="9"/>
  <c r="AN62" i="9"/>
  <c r="AQ62" i="9"/>
  <c r="AT62" i="9"/>
  <c r="AW62" i="9"/>
  <c r="AZ62" i="9"/>
  <c r="BC62" i="9"/>
  <c r="BH62" i="9"/>
  <c r="BE62" i="9"/>
  <c r="M62" i="9"/>
  <c r="BK61" i="9"/>
  <c r="S61" i="9"/>
  <c r="V61" i="9"/>
  <c r="Y61" i="9"/>
  <c r="AB61" i="9"/>
  <c r="AE61" i="9"/>
  <c r="AH61" i="9"/>
  <c r="AK61" i="9"/>
  <c r="AN61" i="9"/>
  <c r="AQ61" i="9"/>
  <c r="AT61" i="9"/>
  <c r="AW61" i="9"/>
  <c r="AZ61" i="9"/>
  <c r="BC61" i="9"/>
  <c r="BH61" i="9"/>
  <c r="BE61" i="9"/>
  <c r="M61" i="9"/>
  <c r="BK60" i="9"/>
  <c r="S60" i="9"/>
  <c r="V60" i="9"/>
  <c r="Y60" i="9"/>
  <c r="AB60" i="9"/>
  <c r="AE60" i="9"/>
  <c r="AH60" i="9"/>
  <c r="AK60" i="9"/>
  <c r="AN60" i="9"/>
  <c r="AQ60" i="9"/>
  <c r="AT60" i="9"/>
  <c r="AW60" i="9"/>
  <c r="AZ60" i="9"/>
  <c r="BC60" i="9"/>
  <c r="BH60" i="9"/>
  <c r="BE60" i="9"/>
  <c r="M60" i="9"/>
  <c r="BK59" i="9"/>
  <c r="S59" i="9"/>
  <c r="V59" i="9"/>
  <c r="Y59" i="9"/>
  <c r="AH59" i="9"/>
  <c r="AK59" i="9"/>
  <c r="AN59" i="9"/>
  <c r="AQ59" i="9"/>
  <c r="AT59" i="9"/>
  <c r="AW59" i="9"/>
  <c r="AZ59" i="9"/>
  <c r="BC59" i="9"/>
  <c r="BH59" i="9"/>
  <c r="BE59" i="9"/>
  <c r="M59" i="9"/>
  <c r="BK58" i="9"/>
  <c r="S58" i="9"/>
  <c r="V58" i="9"/>
  <c r="Y58" i="9"/>
  <c r="AB58" i="9"/>
  <c r="AE58" i="9"/>
  <c r="AH58" i="9"/>
  <c r="AK58" i="9"/>
  <c r="AN58" i="9"/>
  <c r="AQ58" i="9"/>
  <c r="AT58" i="9"/>
  <c r="AW58" i="9"/>
  <c r="AZ58" i="9"/>
  <c r="BC58" i="9"/>
  <c r="BH58" i="9"/>
  <c r="BE58" i="9"/>
  <c r="M58" i="9"/>
  <c r="BK57" i="9"/>
  <c r="S57" i="9"/>
  <c r="V57" i="9"/>
  <c r="Y57" i="9"/>
  <c r="AB57" i="9"/>
  <c r="AE57" i="9"/>
  <c r="AH57" i="9"/>
  <c r="AK57" i="9"/>
  <c r="AN57" i="9"/>
  <c r="AQ57" i="9"/>
  <c r="AT57" i="9"/>
  <c r="AW57" i="9"/>
  <c r="AZ57" i="9"/>
  <c r="BC57" i="9"/>
  <c r="BH57" i="9"/>
  <c r="BE57" i="9"/>
  <c r="M57" i="9"/>
  <c r="BK56" i="9"/>
  <c r="S56" i="9"/>
  <c r="V56" i="9"/>
  <c r="Y56" i="9"/>
  <c r="AE56" i="9"/>
  <c r="AH56" i="9"/>
  <c r="AK56" i="9"/>
  <c r="AN56" i="9"/>
  <c r="AQ56" i="9"/>
  <c r="AT56" i="9"/>
  <c r="AW56" i="9"/>
  <c r="AZ56" i="9"/>
  <c r="BC56" i="9"/>
  <c r="BH56" i="9"/>
  <c r="BE56" i="9"/>
  <c r="M56" i="9"/>
  <c r="BK55" i="9"/>
  <c r="S55" i="9"/>
  <c r="V55" i="9"/>
  <c r="Y55" i="9"/>
  <c r="AB55" i="9"/>
  <c r="AE55" i="9"/>
  <c r="AH55" i="9"/>
  <c r="AK55" i="9"/>
  <c r="AN55" i="9"/>
  <c r="AQ55" i="9"/>
  <c r="AT55" i="9"/>
  <c r="AW55" i="9"/>
  <c r="AZ55" i="9"/>
  <c r="BC55" i="9"/>
  <c r="BH55" i="9"/>
  <c r="BE55" i="9"/>
  <c r="M55" i="9"/>
  <c r="BK54" i="9"/>
  <c r="S54" i="9"/>
  <c r="V54" i="9"/>
  <c r="Y54" i="9"/>
  <c r="AB54" i="9"/>
  <c r="AE54" i="9"/>
  <c r="AH54" i="9"/>
  <c r="AK54" i="9"/>
  <c r="AN54" i="9"/>
  <c r="AQ54" i="9"/>
  <c r="AT54" i="9"/>
  <c r="AW54" i="9"/>
  <c r="AZ54" i="9"/>
  <c r="BC54" i="9"/>
  <c r="BH54" i="9"/>
  <c r="BE54" i="9"/>
  <c r="M54" i="9"/>
  <c r="BQ62" i="8"/>
  <c r="BQ18" i="8"/>
  <c r="BQ24" i="8"/>
  <c r="BQ27" i="8"/>
  <c r="BQ30" i="8"/>
  <c r="BQ33" i="8"/>
  <c r="BQ36" i="8"/>
  <c r="BQ39" i="8"/>
  <c r="BQ42" i="8"/>
  <c r="BQ45" i="8"/>
  <c r="BQ48" i="8"/>
  <c r="BQ51" i="8"/>
  <c r="BQ54" i="8"/>
  <c r="BQ59" i="8"/>
  <c r="BQ56" i="8"/>
  <c r="BQ12" i="8"/>
  <c r="BP62" i="8"/>
  <c r="BO62" i="8"/>
  <c r="BN62" i="8"/>
  <c r="BM62" i="8"/>
  <c r="BL62" i="8"/>
  <c r="BK62" i="8"/>
  <c r="BJ62" i="8"/>
  <c r="BI62" i="8"/>
  <c r="BH62" i="8"/>
  <c r="BG62" i="8"/>
  <c r="BP18" i="8"/>
  <c r="BP21" i="8"/>
  <c r="BP24" i="8"/>
  <c r="BP27" i="8"/>
  <c r="BP30" i="8"/>
  <c r="BP33" i="8"/>
  <c r="BP36" i="8"/>
  <c r="BP39" i="8"/>
  <c r="BP42" i="8"/>
  <c r="BP45" i="8"/>
  <c r="BP48" i="8"/>
  <c r="BP51" i="8"/>
  <c r="BP54" i="8"/>
  <c r="BP59" i="8"/>
  <c r="BP61" i="8"/>
  <c r="BO18" i="8"/>
  <c r="BO21" i="8"/>
  <c r="BO24" i="8"/>
  <c r="BO27" i="8"/>
  <c r="BO30" i="8"/>
  <c r="BO33" i="8"/>
  <c r="BO36" i="8"/>
  <c r="BO39" i="8"/>
  <c r="BO42" i="8"/>
  <c r="BO45" i="8"/>
  <c r="BO48" i="8"/>
  <c r="BO51" i="8"/>
  <c r="BO54" i="8"/>
  <c r="BO59" i="8"/>
  <c r="BN18" i="8"/>
  <c r="BN21" i="8"/>
  <c r="BN24" i="8"/>
  <c r="BN27" i="8"/>
  <c r="BN30" i="8"/>
  <c r="BN33" i="8"/>
  <c r="BN36" i="8"/>
  <c r="BN39" i="8"/>
  <c r="BN42" i="8"/>
  <c r="BN45" i="8"/>
  <c r="BN48" i="8"/>
  <c r="BN51" i="8"/>
  <c r="BN54" i="8"/>
  <c r="BN59" i="8"/>
  <c r="BM18" i="8"/>
  <c r="BM21" i="8"/>
  <c r="BM24" i="8"/>
  <c r="BM27" i="8"/>
  <c r="BM30" i="8"/>
  <c r="BM33" i="8"/>
  <c r="BM36" i="8"/>
  <c r="BM39" i="8"/>
  <c r="BM42" i="8"/>
  <c r="BM45" i="8"/>
  <c r="BM48" i="8"/>
  <c r="BM51" i="8"/>
  <c r="BM54" i="8"/>
  <c r="BM59" i="8"/>
  <c r="BL18" i="8"/>
  <c r="BL21" i="8"/>
  <c r="BL24" i="8"/>
  <c r="BL33" i="8"/>
  <c r="BL36" i="8"/>
  <c r="BL39" i="8"/>
  <c r="BL42" i="8"/>
  <c r="BL45" i="8"/>
  <c r="BL48" i="8"/>
  <c r="BL51" i="8"/>
  <c r="BL54" i="8"/>
  <c r="BL59" i="8"/>
  <c r="BK18" i="8"/>
  <c r="BK21" i="8"/>
  <c r="BK24" i="8"/>
  <c r="BK27" i="8"/>
  <c r="BK30" i="8"/>
  <c r="BK33" i="8"/>
  <c r="BK36" i="8"/>
  <c r="BK39" i="8"/>
  <c r="BK42" i="8"/>
  <c r="BK45" i="8"/>
  <c r="BK48" i="8"/>
  <c r="BK51" i="8"/>
  <c r="BK54" i="8"/>
  <c r="BK59" i="8"/>
  <c r="BJ18" i="8"/>
  <c r="BJ61" i="8" s="1"/>
  <c r="BJ21" i="8"/>
  <c r="BJ24" i="8"/>
  <c r="BJ27" i="8"/>
  <c r="BJ30" i="8"/>
  <c r="BJ33" i="8"/>
  <c r="BJ36" i="8"/>
  <c r="BJ39" i="8"/>
  <c r="BJ42" i="8"/>
  <c r="BJ45" i="8"/>
  <c r="BJ48" i="8"/>
  <c r="BJ51" i="8"/>
  <c r="BJ54" i="8"/>
  <c r="BJ59" i="8"/>
  <c r="BI18" i="8"/>
  <c r="BI21" i="8"/>
  <c r="BI24" i="8"/>
  <c r="BI30" i="8"/>
  <c r="BI33" i="8"/>
  <c r="BI36" i="8"/>
  <c r="BI39" i="8"/>
  <c r="BI42" i="8"/>
  <c r="BI45" i="8"/>
  <c r="BI48" i="8"/>
  <c r="BI51" i="8"/>
  <c r="BI54" i="8"/>
  <c r="BI59" i="8"/>
  <c r="BH18" i="8"/>
  <c r="BH21" i="8"/>
  <c r="BH24" i="8"/>
  <c r="BH27" i="8"/>
  <c r="BH30" i="8"/>
  <c r="BH33" i="8"/>
  <c r="BH36" i="8"/>
  <c r="BH39" i="8"/>
  <c r="BH42" i="8"/>
  <c r="BH45" i="8"/>
  <c r="BH48" i="8"/>
  <c r="BH51" i="8"/>
  <c r="BH54" i="8"/>
  <c r="BH59" i="8"/>
  <c r="BG18" i="8"/>
  <c r="BG21" i="8"/>
  <c r="BG24" i="8"/>
  <c r="BG27" i="8"/>
  <c r="BG30" i="8"/>
  <c r="BG33" i="8"/>
  <c r="BG36" i="8"/>
  <c r="BG39" i="8"/>
  <c r="BG42" i="8"/>
  <c r="BG45" i="8"/>
  <c r="BG48" i="8"/>
  <c r="BG51" i="8"/>
  <c r="BG54" i="8"/>
  <c r="BG59" i="8"/>
  <c r="BP56" i="8"/>
  <c r="BO56" i="8"/>
  <c r="BN56" i="8"/>
  <c r="BM56" i="8"/>
  <c r="BL56" i="8"/>
  <c r="BK56" i="8"/>
  <c r="BJ56" i="8"/>
  <c r="BI56" i="8"/>
  <c r="BH56" i="8"/>
  <c r="BG56" i="8"/>
  <c r="BP12" i="8"/>
  <c r="BO12" i="8"/>
  <c r="BN12" i="8"/>
  <c r="BM12" i="8"/>
  <c r="BL12" i="8"/>
  <c r="BK12" i="8"/>
  <c r="BJ12" i="8"/>
  <c r="BI12" i="8"/>
  <c r="BH12" i="8"/>
  <c r="BG12" i="8"/>
  <c r="AO22" i="2"/>
  <c r="AN60" i="2"/>
  <c r="AO60" i="2"/>
  <c r="AP60" i="2"/>
  <c r="AQ60" i="2"/>
  <c r="AR60" i="2"/>
  <c r="AS60" i="2"/>
  <c r="AT60" i="2"/>
  <c r="AN28" i="2"/>
  <c r="AN22" i="2"/>
  <c r="AN25" i="2"/>
  <c r="AN31" i="2"/>
  <c r="AN34" i="2"/>
  <c r="AN37" i="2"/>
  <c r="AN40" i="2"/>
  <c r="AN43" i="2"/>
  <c r="AN46" i="2"/>
  <c r="AN49" i="2"/>
  <c r="AN52" i="2"/>
  <c r="AN55" i="2"/>
  <c r="AN58" i="2"/>
  <c r="AN63" i="2"/>
  <c r="AO25" i="2"/>
  <c r="AO28" i="2"/>
  <c r="AO31" i="2"/>
  <c r="AO34" i="2"/>
  <c r="AO37" i="2"/>
  <c r="AO40" i="2"/>
  <c r="AO43" i="2"/>
  <c r="AO46" i="2"/>
  <c r="AO49" i="2"/>
  <c r="AO52" i="2"/>
  <c r="AO55" i="2"/>
  <c r="AO58" i="2"/>
  <c r="AO63" i="2"/>
  <c r="AP22" i="2"/>
  <c r="AP25" i="2"/>
  <c r="AP28" i="2"/>
  <c r="AP31" i="2"/>
  <c r="AP34" i="2"/>
  <c r="AP37" i="2"/>
  <c r="AP40" i="2"/>
  <c r="AP43" i="2"/>
  <c r="AP46" i="2"/>
  <c r="AP49" i="2"/>
  <c r="AP52" i="2"/>
  <c r="AP55" i="2"/>
  <c r="AP58" i="2"/>
  <c r="AP63" i="2"/>
  <c r="AN66" i="2"/>
  <c r="AO66" i="2"/>
  <c r="AP66" i="2"/>
  <c r="AQ66" i="2"/>
  <c r="AR66" i="2"/>
  <c r="AS66" i="2"/>
  <c r="AT66" i="2"/>
  <c r="AQ63" i="2"/>
  <c r="AR63" i="2"/>
  <c r="AS63" i="2"/>
  <c r="AT63" i="2"/>
  <c r="AQ58" i="2"/>
  <c r="AR58" i="2"/>
  <c r="AS58" i="2"/>
  <c r="AT58" i="2"/>
  <c r="AQ55" i="2"/>
  <c r="AR55" i="2"/>
  <c r="AS55" i="2"/>
  <c r="AT55" i="2"/>
  <c r="AQ52" i="2"/>
  <c r="AR52" i="2"/>
  <c r="AS52" i="2"/>
  <c r="AT52" i="2"/>
  <c r="AQ49" i="2"/>
  <c r="AR49" i="2"/>
  <c r="AS49" i="2"/>
  <c r="AT49" i="2"/>
  <c r="AQ46" i="2"/>
  <c r="AR46" i="2"/>
  <c r="AS46" i="2"/>
  <c r="AT46" i="2"/>
  <c r="AQ43" i="2"/>
  <c r="AR43" i="2"/>
  <c r="AS43" i="2"/>
  <c r="AT43" i="2"/>
  <c r="AQ40" i="2"/>
  <c r="AR40" i="2"/>
  <c r="AS40" i="2"/>
  <c r="AT40" i="2"/>
  <c r="AQ37" i="2"/>
  <c r="AR37" i="2"/>
  <c r="AS37" i="2"/>
  <c r="AT37" i="2"/>
  <c r="AQ34" i="2"/>
  <c r="AR34" i="2"/>
  <c r="AS34" i="2"/>
  <c r="AT34" i="2"/>
  <c r="AQ31" i="2"/>
  <c r="AR31" i="2"/>
  <c r="AS31" i="2"/>
  <c r="AT31" i="2"/>
  <c r="AQ28" i="2"/>
  <c r="AR28" i="2"/>
  <c r="AS28" i="2"/>
  <c r="AT28" i="2"/>
  <c r="AQ25" i="2"/>
  <c r="AR25" i="2"/>
  <c r="AS25" i="2"/>
  <c r="AT25" i="2"/>
  <c r="AQ22" i="2"/>
  <c r="AQ65" i="2" s="1"/>
  <c r="AR22" i="2"/>
  <c r="AR65" i="2" s="1"/>
  <c r="AS22" i="2"/>
  <c r="AS65" i="2" s="1"/>
  <c r="AT22" i="2"/>
  <c r="AT65" i="2" s="1"/>
  <c r="AN14" i="2"/>
  <c r="AO14" i="2"/>
  <c r="AP14" i="2"/>
  <c r="AQ14" i="2"/>
  <c r="AR14" i="2"/>
  <c r="AS14" i="2"/>
  <c r="AT14" i="2"/>
  <c r="AD14" i="1"/>
  <c r="AE14" i="1"/>
  <c r="AF14" i="1"/>
  <c r="AG14" i="1"/>
  <c r="AH14" i="1"/>
  <c r="AH14" i="2"/>
  <c r="AI14" i="2"/>
  <c r="AJ14" i="2"/>
  <c r="AK14" i="2"/>
  <c r="AL14" i="2"/>
  <c r="AM14" i="2"/>
  <c r="AH43" i="2"/>
  <c r="AH46" i="2"/>
  <c r="AH49" i="2"/>
  <c r="AH52" i="2"/>
  <c r="AH55" i="2"/>
  <c r="AH58" i="2"/>
  <c r="AH63" i="2"/>
  <c r="AI22" i="2"/>
  <c r="AI25" i="2"/>
  <c r="AI28" i="2"/>
  <c r="AI34" i="2"/>
  <c r="AI37" i="2"/>
  <c r="AI40" i="2"/>
  <c r="AI43" i="2"/>
  <c r="AI46" i="2"/>
  <c r="AI49" i="2"/>
  <c r="AI52" i="2"/>
  <c r="AI55" i="2"/>
  <c r="AI58" i="2"/>
  <c r="AI63" i="2"/>
  <c r="AJ22" i="2"/>
  <c r="AJ25" i="2"/>
  <c r="AJ28" i="2"/>
  <c r="AJ31" i="2"/>
  <c r="AJ34" i="2"/>
  <c r="AJ37" i="2"/>
  <c r="AJ40" i="2"/>
  <c r="AJ43" i="2"/>
  <c r="AJ46" i="2"/>
  <c r="AJ49" i="2"/>
  <c r="AJ52" i="2"/>
  <c r="AJ55" i="2"/>
  <c r="AJ58" i="2"/>
  <c r="AJ63" i="2"/>
  <c r="AK22" i="2"/>
  <c r="AK25" i="2"/>
  <c r="AK28" i="2"/>
  <c r="AK31" i="2"/>
  <c r="AK34" i="2"/>
  <c r="AK37" i="2"/>
  <c r="AK40" i="2"/>
  <c r="AK43" i="2"/>
  <c r="AK46" i="2"/>
  <c r="AK49" i="2"/>
  <c r="AK52" i="2"/>
  <c r="AK55" i="2"/>
  <c r="AK58" i="2"/>
  <c r="AK63" i="2"/>
  <c r="AL22" i="2"/>
  <c r="AL25" i="2"/>
  <c r="AL28" i="2"/>
  <c r="AL37" i="2"/>
  <c r="AL40" i="2"/>
  <c r="AL43" i="2"/>
  <c r="AL46" i="2"/>
  <c r="AL49" i="2"/>
  <c r="AL52" i="2"/>
  <c r="AL55" i="2"/>
  <c r="AL58" i="2"/>
  <c r="AL63" i="2"/>
  <c r="AM22" i="2"/>
  <c r="AM65" i="2" s="1"/>
  <c r="AM25" i="2"/>
  <c r="AM28" i="2"/>
  <c r="AM31" i="2"/>
  <c r="AM34" i="2"/>
  <c r="AM37" i="2"/>
  <c r="AM40" i="2"/>
  <c r="AM43" i="2"/>
  <c r="AM46" i="2"/>
  <c r="AM49" i="2"/>
  <c r="AM52" i="2"/>
  <c r="AM55" i="2"/>
  <c r="AM58" i="2"/>
  <c r="AM63" i="2"/>
  <c r="AH66" i="2"/>
  <c r="AI66" i="2"/>
  <c r="AJ66" i="2"/>
  <c r="AK66" i="2"/>
  <c r="AL66" i="2"/>
  <c r="AM66" i="2"/>
  <c r="AH60" i="2"/>
  <c r="AI60" i="2"/>
  <c r="AJ60" i="2"/>
  <c r="AK60" i="2"/>
  <c r="AL60" i="2"/>
  <c r="AM60" i="2"/>
  <c r="AH40" i="2"/>
  <c r="AH25" i="2"/>
  <c r="AH37" i="2"/>
  <c r="AH34" i="2"/>
  <c r="AH31" i="2"/>
  <c r="AH28" i="2"/>
  <c r="AH22" i="2"/>
  <c r="AH65" i="2" s="1"/>
  <c r="BK53" i="9"/>
  <c r="S53" i="9"/>
  <c r="V53" i="9"/>
  <c r="Y53" i="9"/>
  <c r="AB53" i="9"/>
  <c r="AE53" i="9"/>
  <c r="AH53" i="9"/>
  <c r="AK53" i="9"/>
  <c r="AN53" i="9"/>
  <c r="AQ53" i="9"/>
  <c r="AT53" i="9"/>
  <c r="AW53" i="9"/>
  <c r="AZ53" i="9"/>
  <c r="BC53" i="9"/>
  <c r="BH53" i="9"/>
  <c r="BE53" i="9"/>
  <c r="M53" i="9"/>
  <c r="BK51" i="9"/>
  <c r="S51" i="9"/>
  <c r="V51" i="9"/>
  <c r="Y51" i="9"/>
  <c r="AB51" i="9"/>
  <c r="AE51" i="9"/>
  <c r="AH51" i="9"/>
  <c r="AK51" i="9"/>
  <c r="AN51" i="9"/>
  <c r="AQ51" i="9"/>
  <c r="AT51" i="9"/>
  <c r="AW51" i="9"/>
  <c r="AZ51" i="9"/>
  <c r="BC51" i="9"/>
  <c r="BH51" i="9"/>
  <c r="BE51" i="9"/>
  <c r="M51" i="9"/>
  <c r="BK50" i="9"/>
  <c r="S50" i="9"/>
  <c r="V50" i="9"/>
  <c r="Y50" i="9"/>
  <c r="AB50" i="9"/>
  <c r="AE50" i="9"/>
  <c r="AH50" i="9"/>
  <c r="AK50" i="9"/>
  <c r="AN50" i="9"/>
  <c r="AQ50" i="9"/>
  <c r="AT50" i="9"/>
  <c r="AW50" i="9"/>
  <c r="AZ50" i="9"/>
  <c r="BC50" i="9"/>
  <c r="BH50" i="9"/>
  <c r="BE50" i="9"/>
  <c r="M50" i="9"/>
  <c r="BK49" i="9"/>
  <c r="S49" i="9"/>
  <c r="V49" i="9"/>
  <c r="Y49" i="9"/>
  <c r="AB49" i="9"/>
  <c r="AH49" i="9"/>
  <c r="AK49" i="9"/>
  <c r="AN49" i="9"/>
  <c r="AQ49" i="9"/>
  <c r="AT49" i="9"/>
  <c r="AW49" i="9"/>
  <c r="AZ49" i="9"/>
  <c r="BC49" i="9"/>
  <c r="BH49" i="9"/>
  <c r="BE49" i="9"/>
  <c r="M49" i="9"/>
  <c r="BK48" i="9"/>
  <c r="S48" i="9"/>
  <c r="V48" i="9"/>
  <c r="Y48" i="9"/>
  <c r="AB48" i="9"/>
  <c r="AE48" i="9"/>
  <c r="AH48" i="9"/>
  <c r="AK48" i="9"/>
  <c r="AN48" i="9"/>
  <c r="AQ48" i="9"/>
  <c r="AT48" i="9"/>
  <c r="AW48" i="9"/>
  <c r="AZ48" i="9"/>
  <c r="BC48" i="9"/>
  <c r="BH48" i="9"/>
  <c r="BE48" i="9"/>
  <c r="M48" i="9"/>
  <c r="BK47" i="9"/>
  <c r="S47" i="9"/>
  <c r="V47" i="9"/>
  <c r="Y47" i="9"/>
  <c r="AB47" i="9"/>
  <c r="AE47" i="9"/>
  <c r="AH47" i="9"/>
  <c r="AK47" i="9"/>
  <c r="AN47" i="9"/>
  <c r="AQ47" i="9"/>
  <c r="AT47" i="9"/>
  <c r="AW47" i="9"/>
  <c r="AZ47" i="9"/>
  <c r="BC47" i="9"/>
  <c r="BH47" i="9"/>
  <c r="BE47" i="9"/>
  <c r="M47" i="9"/>
  <c r="BK46" i="9"/>
  <c r="S46" i="9"/>
  <c r="Y46" i="9"/>
  <c r="AB46" i="9"/>
  <c r="AE46" i="9"/>
  <c r="AH46" i="9"/>
  <c r="AK46" i="9"/>
  <c r="AN46" i="9"/>
  <c r="AQ46" i="9"/>
  <c r="AT46" i="9"/>
  <c r="AW46" i="9"/>
  <c r="AZ46" i="9"/>
  <c r="BC46" i="9"/>
  <c r="BH46" i="9"/>
  <c r="BE46" i="9"/>
  <c r="M46" i="9"/>
  <c r="BK45" i="9"/>
  <c r="S45" i="9"/>
  <c r="V45" i="9"/>
  <c r="Y45" i="9"/>
  <c r="AB45" i="9"/>
  <c r="AE45" i="9"/>
  <c r="AH45" i="9"/>
  <c r="AK45" i="9"/>
  <c r="AN45" i="9"/>
  <c r="AQ45" i="9"/>
  <c r="AT45" i="9"/>
  <c r="AW45" i="9"/>
  <c r="AZ45" i="9"/>
  <c r="BC45" i="9"/>
  <c r="BH45" i="9"/>
  <c r="BE45" i="9"/>
  <c r="M45" i="9"/>
  <c r="BK44" i="9"/>
  <c r="S44" i="9"/>
  <c r="V44" i="9"/>
  <c r="Y44" i="9"/>
  <c r="AB44" i="9"/>
  <c r="AE44" i="9"/>
  <c r="AH44" i="9"/>
  <c r="AK44" i="9"/>
  <c r="AN44" i="9"/>
  <c r="AQ44" i="9"/>
  <c r="AT44" i="9"/>
  <c r="AW44" i="9"/>
  <c r="AZ44" i="9"/>
  <c r="BC44" i="9"/>
  <c r="BH44" i="9"/>
  <c r="BE44" i="9"/>
  <c r="M44" i="9"/>
  <c r="BK43" i="9"/>
  <c r="S43" i="9"/>
  <c r="V43" i="9"/>
  <c r="Y43" i="9"/>
  <c r="AB43" i="9"/>
  <c r="AE43" i="9"/>
  <c r="AH43" i="9"/>
  <c r="AK43" i="9"/>
  <c r="AN43" i="9"/>
  <c r="AQ43" i="9"/>
  <c r="AT43" i="9"/>
  <c r="AW43" i="9"/>
  <c r="AZ43" i="9"/>
  <c r="BC43" i="9"/>
  <c r="BH43" i="9"/>
  <c r="BE43" i="9"/>
  <c r="M43" i="9"/>
  <c r="BK42" i="9"/>
  <c r="S42" i="9"/>
  <c r="V42" i="9"/>
  <c r="Y42" i="9"/>
  <c r="AB42" i="9"/>
  <c r="AE42" i="9"/>
  <c r="AH42" i="9"/>
  <c r="AK42" i="9"/>
  <c r="AN42" i="9"/>
  <c r="AQ42" i="9"/>
  <c r="AT42" i="9"/>
  <c r="AW42" i="9"/>
  <c r="AZ42" i="9"/>
  <c r="BC42" i="9"/>
  <c r="BH42" i="9"/>
  <c r="BE42" i="9"/>
  <c r="M42" i="9"/>
  <c r="BK40" i="9"/>
  <c r="S40" i="9"/>
  <c r="V40" i="9"/>
  <c r="Y40" i="9"/>
  <c r="AB40" i="9"/>
  <c r="AE40" i="9"/>
  <c r="AH40" i="9"/>
  <c r="AK40" i="9"/>
  <c r="AN40" i="9"/>
  <c r="AQ40" i="9"/>
  <c r="AT40" i="9"/>
  <c r="AW40" i="9"/>
  <c r="AZ40" i="9"/>
  <c r="BC40" i="9"/>
  <c r="BH40" i="9"/>
  <c r="BE40" i="9"/>
  <c r="M40" i="9"/>
  <c r="BK39" i="9"/>
  <c r="S39" i="9"/>
  <c r="V39" i="9"/>
  <c r="Y39" i="9"/>
  <c r="AB39" i="9"/>
  <c r="AE39" i="9"/>
  <c r="AH39" i="9"/>
  <c r="AK39" i="9"/>
  <c r="AN39" i="9"/>
  <c r="AQ39" i="9"/>
  <c r="AT39" i="9"/>
  <c r="AW39" i="9"/>
  <c r="AZ39" i="9"/>
  <c r="BC39" i="9"/>
  <c r="BH39" i="9"/>
  <c r="BE39" i="9"/>
  <c r="M39" i="9"/>
  <c r="BK38" i="9"/>
  <c r="S38" i="9"/>
  <c r="V38" i="9"/>
  <c r="Y38" i="9"/>
  <c r="AB38" i="9"/>
  <c r="AE38" i="9"/>
  <c r="AH38" i="9"/>
  <c r="AK38" i="9"/>
  <c r="AN38" i="9"/>
  <c r="AQ38" i="9"/>
  <c r="AT38" i="9"/>
  <c r="AW38" i="9"/>
  <c r="AZ38" i="9"/>
  <c r="BC38" i="9"/>
  <c r="BH38" i="9"/>
  <c r="BE38" i="9"/>
  <c r="M38" i="9"/>
  <c r="BK37" i="9"/>
  <c r="S37" i="9"/>
  <c r="Y37" i="9"/>
  <c r="AH37" i="9"/>
  <c r="AK37" i="9"/>
  <c r="AN37" i="9"/>
  <c r="AQ37" i="9"/>
  <c r="AT37" i="9"/>
  <c r="AW37" i="9"/>
  <c r="AZ37" i="9"/>
  <c r="BC37" i="9"/>
  <c r="BH37" i="9"/>
  <c r="BE37" i="9"/>
  <c r="M37" i="9"/>
  <c r="BK36" i="9"/>
  <c r="S36" i="9"/>
  <c r="Y36" i="9"/>
  <c r="AB36" i="9"/>
  <c r="AE36" i="9"/>
  <c r="AH36" i="9"/>
  <c r="AK36" i="9"/>
  <c r="AN36" i="9"/>
  <c r="AQ36" i="9"/>
  <c r="AT36" i="9"/>
  <c r="AW36" i="9"/>
  <c r="AZ36" i="9"/>
  <c r="BC36" i="9"/>
  <c r="BH36" i="9"/>
  <c r="BE36" i="9"/>
  <c r="M36" i="9"/>
  <c r="BK35" i="9"/>
  <c r="S35" i="9"/>
  <c r="V35" i="9"/>
  <c r="Y35" i="9"/>
  <c r="AB35" i="9"/>
  <c r="AE35" i="9"/>
  <c r="AH35" i="9"/>
  <c r="AK35" i="9"/>
  <c r="AN35" i="9"/>
  <c r="AQ35" i="9"/>
  <c r="AT35" i="9"/>
  <c r="AW35" i="9"/>
  <c r="AZ35" i="9"/>
  <c r="BC35" i="9"/>
  <c r="BH35" i="9"/>
  <c r="BE35" i="9"/>
  <c r="M35" i="9"/>
  <c r="BK34" i="9"/>
  <c r="S34" i="9"/>
  <c r="Y34" i="9"/>
  <c r="AB34" i="9"/>
  <c r="AE34" i="9"/>
  <c r="AH34" i="9"/>
  <c r="AK34" i="9"/>
  <c r="AN34" i="9"/>
  <c r="AQ34" i="9"/>
  <c r="AT34" i="9"/>
  <c r="AW34" i="9"/>
  <c r="AZ34" i="9"/>
  <c r="BC34" i="9"/>
  <c r="BH34" i="9"/>
  <c r="BE34" i="9"/>
  <c r="M34" i="9"/>
  <c r="BK33" i="9"/>
  <c r="S33" i="9"/>
  <c r="V33" i="9"/>
  <c r="BJ33" i="9" s="1"/>
  <c r="Y33" i="9"/>
  <c r="AB33" i="9"/>
  <c r="AE33" i="9"/>
  <c r="AH33" i="9"/>
  <c r="AK33" i="9"/>
  <c r="AN33" i="9"/>
  <c r="AQ33" i="9"/>
  <c r="AT33" i="9"/>
  <c r="AW33" i="9"/>
  <c r="AZ33" i="9"/>
  <c r="BC33" i="9"/>
  <c r="BH33" i="9"/>
  <c r="BE33" i="9"/>
  <c r="M33" i="9"/>
  <c r="BK32" i="9"/>
  <c r="S32" i="9"/>
  <c r="V32" i="9"/>
  <c r="Y32" i="9"/>
  <c r="AH32" i="9"/>
  <c r="AK32" i="9"/>
  <c r="AN32" i="9"/>
  <c r="BJ32" i="9" s="1"/>
  <c r="AQ32" i="9"/>
  <c r="AT32" i="9"/>
  <c r="AW32" i="9"/>
  <c r="AZ32" i="9"/>
  <c r="BC32" i="9"/>
  <c r="BH32" i="9"/>
  <c r="BE32" i="9"/>
  <c r="M32" i="9"/>
  <c r="BK31" i="9"/>
  <c r="S31" i="9"/>
  <c r="V31" i="9"/>
  <c r="Y31" i="9"/>
  <c r="AB31" i="9"/>
  <c r="AE31" i="9"/>
  <c r="AH31" i="9"/>
  <c r="AK31" i="9"/>
  <c r="AN31" i="9"/>
  <c r="AQ31" i="9"/>
  <c r="AT31" i="9"/>
  <c r="AW31" i="9"/>
  <c r="AZ31" i="9"/>
  <c r="BC31" i="9"/>
  <c r="BH31" i="9"/>
  <c r="BE31" i="9"/>
  <c r="M31" i="9"/>
  <c r="BK69" i="9"/>
  <c r="S69" i="9"/>
  <c r="V69" i="9"/>
  <c r="Y69" i="9"/>
  <c r="AB69" i="9"/>
  <c r="AE69" i="9"/>
  <c r="AH69" i="9"/>
  <c r="AK69" i="9"/>
  <c r="AN69" i="9"/>
  <c r="AQ69" i="9"/>
  <c r="AT69" i="9"/>
  <c r="AW69" i="9"/>
  <c r="AZ69" i="9"/>
  <c r="BC69" i="9"/>
  <c r="BH69" i="9"/>
  <c r="BE69" i="9"/>
  <c r="M69" i="9"/>
  <c r="BK68" i="9"/>
  <c r="S68" i="9"/>
  <c r="Y68" i="9"/>
  <c r="AB68" i="9"/>
  <c r="AE68" i="9"/>
  <c r="AH68" i="9"/>
  <c r="AK68" i="9"/>
  <c r="AN68" i="9"/>
  <c r="AQ68" i="9"/>
  <c r="AT68" i="9"/>
  <c r="AW68" i="9"/>
  <c r="AZ68" i="9"/>
  <c r="BC68" i="9"/>
  <c r="BH68" i="9"/>
  <c r="BE68" i="9"/>
  <c r="M68" i="9"/>
  <c r="BK67" i="9"/>
  <c r="S67" i="9"/>
  <c r="Y67" i="9"/>
  <c r="AB67" i="9"/>
  <c r="AE67" i="9"/>
  <c r="AH67" i="9"/>
  <c r="AK67" i="9"/>
  <c r="AN67" i="9"/>
  <c r="AQ67" i="9"/>
  <c r="AT67" i="9"/>
  <c r="AW67" i="9"/>
  <c r="AZ67" i="9"/>
  <c r="BC67" i="9"/>
  <c r="BH67" i="9"/>
  <c r="BE67" i="9"/>
  <c r="M67" i="9"/>
  <c r="BK66" i="9"/>
  <c r="S66" i="9"/>
  <c r="Y66" i="9"/>
  <c r="AB66" i="9"/>
  <c r="AE66" i="9"/>
  <c r="AH66" i="9"/>
  <c r="AK66" i="9"/>
  <c r="AN66" i="9"/>
  <c r="AQ66" i="9"/>
  <c r="AT66" i="9"/>
  <c r="AW66" i="9"/>
  <c r="AZ66" i="9"/>
  <c r="BC66" i="9"/>
  <c r="BH66" i="9"/>
  <c r="BE66" i="9"/>
  <c r="M66" i="9"/>
  <c r="BK65" i="9"/>
  <c r="S65" i="9"/>
  <c r="V65" i="9"/>
  <c r="Y65" i="9"/>
  <c r="AB65" i="9"/>
  <c r="AE65" i="9"/>
  <c r="AH65" i="9"/>
  <c r="AK65" i="9"/>
  <c r="AN65" i="9"/>
  <c r="AQ65" i="9"/>
  <c r="AT65" i="9"/>
  <c r="AW65" i="9"/>
  <c r="AZ65" i="9"/>
  <c r="BC65" i="9"/>
  <c r="BH65" i="9"/>
  <c r="BE65" i="9"/>
  <c r="M65" i="9"/>
  <c r="BK63" i="9"/>
  <c r="S63" i="9"/>
  <c r="V63" i="9"/>
  <c r="Y63" i="9"/>
  <c r="AB63" i="9"/>
  <c r="AE63" i="9"/>
  <c r="AH63" i="9"/>
  <c r="AK63" i="9"/>
  <c r="AN63" i="9"/>
  <c r="AQ63" i="9"/>
  <c r="AT63" i="9"/>
  <c r="AW63" i="9"/>
  <c r="AZ63" i="9"/>
  <c r="BC63" i="9"/>
  <c r="BH63" i="9"/>
  <c r="BE63" i="9"/>
  <c r="M63" i="9"/>
  <c r="BK52" i="9"/>
  <c r="S52" i="9"/>
  <c r="V52" i="9"/>
  <c r="Y52" i="9"/>
  <c r="AB52" i="9"/>
  <c r="AE52" i="9"/>
  <c r="AH52" i="9"/>
  <c r="AK52" i="9"/>
  <c r="AN52" i="9"/>
  <c r="AQ52" i="9"/>
  <c r="AT52" i="9"/>
  <c r="AW52" i="9"/>
  <c r="AZ52" i="9"/>
  <c r="BC52" i="9"/>
  <c r="BH52" i="9"/>
  <c r="BE52" i="9"/>
  <c r="M52" i="9"/>
  <c r="BK41" i="9"/>
  <c r="S41" i="9"/>
  <c r="Y41" i="9"/>
  <c r="AB41" i="9"/>
  <c r="AE41" i="9"/>
  <c r="AH41" i="9"/>
  <c r="AK41" i="9"/>
  <c r="AN41" i="9"/>
  <c r="AQ41" i="9"/>
  <c r="AT41" i="9"/>
  <c r="AW41" i="9"/>
  <c r="AZ41" i="9"/>
  <c r="BC41" i="9"/>
  <c r="BH41" i="9"/>
  <c r="BE41" i="9"/>
  <c r="M41" i="9"/>
  <c r="BK30" i="9"/>
  <c r="S30" i="9"/>
  <c r="V30" i="9"/>
  <c r="Y30" i="9"/>
  <c r="AB30" i="9"/>
  <c r="AE30" i="9"/>
  <c r="AH30" i="9"/>
  <c r="AK30" i="9"/>
  <c r="AN30" i="9"/>
  <c r="AQ30" i="9"/>
  <c r="AT30" i="9"/>
  <c r="AW30" i="9"/>
  <c r="AZ30" i="9"/>
  <c r="BC30" i="9"/>
  <c r="BH30" i="9"/>
  <c r="BE30" i="9"/>
  <c r="M30" i="9"/>
  <c r="BK21" i="9"/>
  <c r="S21" i="9"/>
  <c r="Y21" i="9"/>
  <c r="AB21" i="9"/>
  <c r="AE21" i="9"/>
  <c r="AH21" i="9"/>
  <c r="AK21" i="9"/>
  <c r="AN21" i="9"/>
  <c r="AQ21" i="9"/>
  <c r="AT21" i="9"/>
  <c r="AW21" i="9"/>
  <c r="AZ21" i="9"/>
  <c r="BC21" i="9"/>
  <c r="BH21" i="9"/>
  <c r="BE21" i="9"/>
  <c r="M21" i="9"/>
  <c r="BK20" i="9"/>
  <c r="S20" i="9"/>
  <c r="Y20" i="9"/>
  <c r="AB20" i="9"/>
  <c r="AE20" i="9"/>
  <c r="AH20" i="9"/>
  <c r="AK20" i="9"/>
  <c r="AN20" i="9"/>
  <c r="AQ20" i="9"/>
  <c r="AT20" i="9"/>
  <c r="AW20" i="9"/>
  <c r="AZ20" i="9"/>
  <c r="BC20" i="9"/>
  <c r="BH20" i="9"/>
  <c r="BE20" i="9"/>
  <c r="M20" i="9"/>
  <c r="BK19" i="9"/>
  <c r="S19" i="9"/>
  <c r="V19" i="9"/>
  <c r="Y19" i="9"/>
  <c r="AB19" i="9"/>
  <c r="AE19" i="9"/>
  <c r="AH19" i="9"/>
  <c r="AK19" i="9"/>
  <c r="AN19" i="9"/>
  <c r="AQ19" i="9"/>
  <c r="AT19" i="9"/>
  <c r="AW19" i="9"/>
  <c r="AZ19" i="9"/>
  <c r="BC19" i="9"/>
  <c r="BH19" i="9"/>
  <c r="BE19" i="9"/>
  <c r="M19" i="9"/>
  <c r="BK18" i="9"/>
  <c r="S18" i="9"/>
  <c r="V18" i="9"/>
  <c r="Y18" i="9"/>
  <c r="AB18" i="9"/>
  <c r="AE18" i="9"/>
  <c r="AH18" i="9"/>
  <c r="AK18" i="9"/>
  <c r="AN18" i="9"/>
  <c r="AQ18" i="9"/>
  <c r="AT18" i="9"/>
  <c r="AW18" i="9"/>
  <c r="AZ18" i="9"/>
  <c r="BC18" i="9"/>
  <c r="BH18" i="9"/>
  <c r="BE18" i="9"/>
  <c r="M18" i="9"/>
  <c r="BK17" i="9"/>
  <c r="S17" i="9"/>
  <c r="V17" i="9"/>
  <c r="Y17" i="9"/>
  <c r="AB17" i="9"/>
  <c r="AE17" i="9"/>
  <c r="AH17" i="9"/>
  <c r="AK17" i="9"/>
  <c r="AN17" i="9"/>
  <c r="AQ17" i="9"/>
  <c r="AT17" i="9"/>
  <c r="AW17" i="9"/>
  <c r="AZ17" i="9"/>
  <c r="BC17" i="9"/>
  <c r="BH17" i="9"/>
  <c r="BE17" i="9"/>
  <c r="M17" i="9"/>
  <c r="BK16" i="9"/>
  <c r="S16" i="9"/>
  <c r="V16" i="9"/>
  <c r="Y16" i="9"/>
  <c r="AB16" i="9"/>
  <c r="AE16" i="9"/>
  <c r="AH16" i="9"/>
  <c r="AK16" i="9"/>
  <c r="AN16" i="9"/>
  <c r="AQ16" i="9"/>
  <c r="AT16" i="9"/>
  <c r="AW16" i="9"/>
  <c r="AZ16" i="9"/>
  <c r="BC16" i="9"/>
  <c r="BH16" i="9"/>
  <c r="BE16" i="9"/>
  <c r="M16" i="9"/>
  <c r="BK15" i="9"/>
  <c r="S15" i="9"/>
  <c r="Y15" i="9"/>
  <c r="AB15" i="9"/>
  <c r="AE15" i="9"/>
  <c r="AH15" i="9"/>
  <c r="AK15" i="9"/>
  <c r="AN15" i="9"/>
  <c r="AQ15" i="9"/>
  <c r="AT15" i="9"/>
  <c r="AW15" i="9"/>
  <c r="AZ15" i="9"/>
  <c r="BC15" i="9"/>
  <c r="BH15" i="9"/>
  <c r="BE15" i="9"/>
  <c r="M15" i="9"/>
  <c r="BK14" i="9"/>
  <c r="S14" i="9"/>
  <c r="V14" i="9"/>
  <c r="Y14" i="9"/>
  <c r="AB14" i="9"/>
  <c r="AH14" i="9"/>
  <c r="AK14" i="9"/>
  <c r="AN14" i="9"/>
  <c r="AQ14" i="9"/>
  <c r="AT14" i="9"/>
  <c r="AW14" i="9"/>
  <c r="AZ14" i="9"/>
  <c r="BC14" i="9"/>
  <c r="BH14" i="9"/>
  <c r="BE14" i="9"/>
  <c r="M14" i="9"/>
  <c r="BK12" i="9"/>
  <c r="S12" i="9"/>
  <c r="V12" i="9"/>
  <c r="Y12" i="9"/>
  <c r="AB12" i="9"/>
  <c r="AE12" i="9"/>
  <c r="AH12" i="9"/>
  <c r="AK12" i="9"/>
  <c r="AN12" i="9"/>
  <c r="AQ12" i="9"/>
  <c r="AT12" i="9"/>
  <c r="AW12" i="9"/>
  <c r="AZ12" i="9"/>
  <c r="BC12" i="9"/>
  <c r="BH12" i="9"/>
  <c r="BE12" i="9"/>
  <c r="M12" i="9"/>
  <c r="BK11" i="9"/>
  <c r="S11" i="9"/>
  <c r="V11" i="9"/>
  <c r="Y11" i="9"/>
  <c r="AB11" i="9"/>
  <c r="AE11" i="9"/>
  <c r="AH11" i="9"/>
  <c r="AK11" i="9"/>
  <c r="AN11" i="9"/>
  <c r="AQ11" i="9"/>
  <c r="AT11" i="9"/>
  <c r="AW11" i="9"/>
  <c r="AZ11" i="9"/>
  <c r="BC11" i="9"/>
  <c r="BH11" i="9"/>
  <c r="BE11" i="9"/>
  <c r="M11" i="9"/>
  <c r="BK10" i="9"/>
  <c r="S10" i="9"/>
  <c r="V10" i="9"/>
  <c r="Y10" i="9"/>
  <c r="AB10" i="9"/>
  <c r="AE10" i="9"/>
  <c r="AH10" i="9"/>
  <c r="AK10" i="9"/>
  <c r="AN10" i="9"/>
  <c r="AQ10" i="9"/>
  <c r="AT10" i="9"/>
  <c r="AW10" i="9"/>
  <c r="AZ10" i="9"/>
  <c r="BC10" i="9"/>
  <c r="BH10" i="9"/>
  <c r="BE10" i="9"/>
  <c r="M10" i="9"/>
  <c r="BK9" i="9"/>
  <c r="S9" i="9"/>
  <c r="V9" i="9"/>
  <c r="Y9" i="9"/>
  <c r="AB9" i="9"/>
  <c r="AE9" i="9"/>
  <c r="AH9" i="9"/>
  <c r="AK9" i="9"/>
  <c r="AN9" i="9"/>
  <c r="AQ9" i="9"/>
  <c r="AT9" i="9"/>
  <c r="AW9" i="9"/>
  <c r="AZ9" i="9"/>
  <c r="BC9" i="9"/>
  <c r="BH9" i="9"/>
  <c r="BE9" i="9"/>
  <c r="M9" i="9"/>
  <c r="BK8" i="9"/>
  <c r="S8" i="9"/>
  <c r="V8" i="9"/>
  <c r="Y8" i="9"/>
  <c r="AB8" i="9"/>
  <c r="AE8" i="9"/>
  <c r="AH8" i="9"/>
  <c r="AK8" i="9"/>
  <c r="AN8" i="9"/>
  <c r="AQ8" i="9"/>
  <c r="AT8" i="9"/>
  <c r="AW8" i="9"/>
  <c r="AZ8" i="9"/>
  <c r="BC8" i="9"/>
  <c r="BH8" i="9"/>
  <c r="BE8" i="9"/>
  <c r="M8" i="9"/>
  <c r="BK7" i="9"/>
  <c r="S7" i="9"/>
  <c r="V7" i="9"/>
  <c r="Y7" i="9"/>
  <c r="AB7" i="9"/>
  <c r="AE7" i="9"/>
  <c r="AH7" i="9"/>
  <c r="AK7" i="9"/>
  <c r="AN7" i="9"/>
  <c r="AQ7" i="9"/>
  <c r="AT7" i="9"/>
  <c r="AW7" i="9"/>
  <c r="AZ7" i="9"/>
  <c r="BC7" i="9"/>
  <c r="BH7" i="9"/>
  <c r="BE7" i="9"/>
  <c r="M7" i="9"/>
  <c r="BK6" i="9"/>
  <c r="S6" i="9"/>
  <c r="Y6" i="9"/>
  <c r="AB6" i="9"/>
  <c r="AE6" i="9"/>
  <c r="AH6" i="9"/>
  <c r="AK6" i="9"/>
  <c r="AN6" i="9"/>
  <c r="AQ6" i="9"/>
  <c r="AT6" i="9"/>
  <c r="AW6" i="9"/>
  <c r="AZ6" i="9"/>
  <c r="BC6" i="9"/>
  <c r="BH6" i="9"/>
  <c r="BE6" i="9"/>
  <c r="M6" i="9"/>
  <c r="BK5" i="9"/>
  <c r="S5" i="9"/>
  <c r="V5" i="9"/>
  <c r="Y5" i="9"/>
  <c r="AB5" i="9"/>
  <c r="AE5" i="9"/>
  <c r="AH5" i="9"/>
  <c r="AK5" i="9"/>
  <c r="AN5" i="9"/>
  <c r="AQ5" i="9"/>
  <c r="AT5" i="9"/>
  <c r="AW5" i="9"/>
  <c r="AZ5" i="9"/>
  <c r="BC5" i="9"/>
  <c r="BH5" i="9"/>
  <c r="BE5" i="9"/>
  <c r="M5" i="9"/>
  <c r="BK4" i="9"/>
  <c r="S4" i="9"/>
  <c r="Y4" i="9"/>
  <c r="AB4" i="9"/>
  <c r="AE4" i="9"/>
  <c r="AH4" i="9"/>
  <c r="AK4" i="9"/>
  <c r="AN4" i="9"/>
  <c r="AQ4" i="9"/>
  <c r="AT4" i="9"/>
  <c r="AW4" i="9"/>
  <c r="AZ4" i="9"/>
  <c r="BC4" i="9"/>
  <c r="BH4" i="9"/>
  <c r="BE4" i="9"/>
  <c r="M4" i="9"/>
  <c r="BK3" i="9"/>
  <c r="S3" i="9"/>
  <c r="Y3" i="9"/>
  <c r="AB3" i="9"/>
  <c r="AH3" i="9"/>
  <c r="AK3" i="9"/>
  <c r="AN3" i="9"/>
  <c r="AQ3" i="9"/>
  <c r="AT3" i="9"/>
  <c r="AW3" i="9"/>
  <c r="AZ3" i="9"/>
  <c r="BC3" i="9"/>
  <c r="BH3" i="9"/>
  <c r="BE3" i="9"/>
  <c r="M3" i="9"/>
  <c r="BK29" i="9"/>
  <c r="S29" i="9"/>
  <c r="V29" i="9"/>
  <c r="Y29" i="9"/>
  <c r="AB29" i="9"/>
  <c r="AE29" i="9"/>
  <c r="AH29" i="9"/>
  <c r="AK29" i="9"/>
  <c r="AN29" i="9"/>
  <c r="AQ29" i="9"/>
  <c r="AT29" i="9"/>
  <c r="AW29" i="9"/>
  <c r="AZ29" i="9"/>
  <c r="BC29" i="9"/>
  <c r="BH29" i="9"/>
  <c r="BE29" i="9"/>
  <c r="M29" i="9"/>
  <c r="BK28" i="9"/>
  <c r="S28" i="9"/>
  <c r="V28" i="9"/>
  <c r="Y28" i="9"/>
  <c r="AB28" i="9"/>
  <c r="AE28" i="9"/>
  <c r="AH28" i="9"/>
  <c r="AK28" i="9"/>
  <c r="AN28" i="9"/>
  <c r="AQ28" i="9"/>
  <c r="AT28" i="9"/>
  <c r="AW28" i="9"/>
  <c r="AZ28" i="9"/>
  <c r="BC28" i="9"/>
  <c r="BH28" i="9"/>
  <c r="BE28" i="9"/>
  <c r="M28" i="9"/>
  <c r="BK27" i="9"/>
  <c r="S27" i="9"/>
  <c r="V27" i="9"/>
  <c r="Y27" i="9"/>
  <c r="AB27" i="9"/>
  <c r="AE27" i="9"/>
  <c r="AH27" i="9"/>
  <c r="AK27" i="9"/>
  <c r="AN27" i="9"/>
  <c r="AQ27" i="9"/>
  <c r="AT27" i="9"/>
  <c r="AW27" i="9"/>
  <c r="AZ27" i="9"/>
  <c r="BC27" i="9"/>
  <c r="BH27" i="9"/>
  <c r="BE27" i="9"/>
  <c r="M27" i="9"/>
  <c r="BK26" i="9"/>
  <c r="S26" i="9"/>
  <c r="V26" i="9"/>
  <c r="Y26" i="9"/>
  <c r="AB26" i="9"/>
  <c r="AE26" i="9"/>
  <c r="AH26" i="9"/>
  <c r="AK26" i="9"/>
  <c r="AN26" i="9"/>
  <c r="AQ26" i="9"/>
  <c r="AT26" i="9"/>
  <c r="AW26" i="9"/>
  <c r="AZ26" i="9"/>
  <c r="BC26" i="9"/>
  <c r="BH26" i="9"/>
  <c r="BE26" i="9"/>
  <c r="M26" i="9"/>
  <c r="BK25" i="9"/>
  <c r="S25" i="9"/>
  <c r="V25" i="9"/>
  <c r="Y25" i="9"/>
  <c r="AB25" i="9"/>
  <c r="AE25" i="9"/>
  <c r="AH25" i="9"/>
  <c r="AK25" i="9"/>
  <c r="AN25" i="9"/>
  <c r="AQ25" i="9"/>
  <c r="AT25" i="9"/>
  <c r="AW25" i="9"/>
  <c r="AZ25" i="9"/>
  <c r="BC25" i="9"/>
  <c r="BH25" i="9"/>
  <c r="BE25" i="9"/>
  <c r="M25" i="9"/>
  <c r="BK24" i="9"/>
  <c r="S24" i="9"/>
  <c r="V24" i="9"/>
  <c r="Y24" i="9"/>
  <c r="AB24" i="9"/>
  <c r="AE24" i="9"/>
  <c r="AH24" i="9"/>
  <c r="AK24" i="9"/>
  <c r="AN24" i="9"/>
  <c r="AQ24" i="9"/>
  <c r="AT24" i="9"/>
  <c r="AW24" i="9"/>
  <c r="AZ24" i="9"/>
  <c r="BC24" i="9"/>
  <c r="BH24" i="9"/>
  <c r="BE24" i="9"/>
  <c r="M24" i="9"/>
  <c r="BK23" i="9"/>
  <c r="S23" i="9"/>
  <c r="V23" i="9"/>
  <c r="Y23" i="9"/>
  <c r="AB23" i="9"/>
  <c r="AE23" i="9"/>
  <c r="AH23" i="9"/>
  <c r="AK23" i="9"/>
  <c r="AN23" i="9"/>
  <c r="AQ23" i="9"/>
  <c r="AT23" i="9"/>
  <c r="AW23" i="9"/>
  <c r="AZ23" i="9"/>
  <c r="BC23" i="9"/>
  <c r="BH23" i="9"/>
  <c r="BE23" i="9"/>
  <c r="M23" i="9"/>
  <c r="BK13" i="9"/>
  <c r="S13" i="9"/>
  <c r="V13" i="9"/>
  <c r="Y13" i="9"/>
  <c r="AB13" i="9"/>
  <c r="AE13" i="9"/>
  <c r="AH13" i="9"/>
  <c r="AK13" i="9"/>
  <c r="AN13" i="9"/>
  <c r="AQ13" i="9"/>
  <c r="AT13" i="9"/>
  <c r="AW13" i="9"/>
  <c r="AZ13" i="9"/>
  <c r="BC13" i="9"/>
  <c r="BH13" i="9"/>
  <c r="BE13" i="9"/>
  <c r="M13" i="9"/>
  <c r="BK2" i="9"/>
  <c r="S2" i="9"/>
  <c r="V2" i="9"/>
  <c r="Y2" i="9"/>
  <c r="AB2" i="9"/>
  <c r="AE2" i="9"/>
  <c r="AH2" i="9"/>
  <c r="AK2" i="9"/>
  <c r="AN2" i="9"/>
  <c r="AQ2" i="9"/>
  <c r="AT2" i="9"/>
  <c r="AW2" i="9"/>
  <c r="AZ2" i="9"/>
  <c r="BC2" i="9"/>
  <c r="BH2" i="9"/>
  <c r="BE2" i="9"/>
  <c r="M2" i="9"/>
  <c r="BF62" i="8"/>
  <c r="BE62" i="8"/>
  <c r="BD62" i="8"/>
  <c r="BC62" i="8"/>
  <c r="BB62" i="8"/>
  <c r="BA62" i="8"/>
  <c r="AZ62" i="8"/>
  <c r="AY62" i="8"/>
  <c r="AX62" i="8"/>
  <c r="AW62" i="8"/>
  <c r="AV62" i="8"/>
  <c r="AU62" i="8"/>
  <c r="AT62" i="8"/>
  <c r="AS62" i="8"/>
  <c r="AR62" i="8"/>
  <c r="AQ62" i="8"/>
  <c r="AP62" i="8"/>
  <c r="AO62" i="8"/>
  <c r="AN62" i="8"/>
  <c r="AM62" i="8"/>
  <c r="AL62" i="8"/>
  <c r="AK62" i="8"/>
  <c r="AJ62" i="8"/>
  <c r="AI62" i="8"/>
  <c r="AH62" i="8"/>
  <c r="AG62" i="8"/>
  <c r="AF62" i="8"/>
  <c r="AE62" i="8"/>
  <c r="AD62" i="8"/>
  <c r="AC62" i="8"/>
  <c r="AB62" i="8"/>
  <c r="AA62" i="8"/>
  <c r="Z62" i="8"/>
  <c r="Y62" i="8"/>
  <c r="X62" i="8"/>
  <c r="W62" i="8"/>
  <c r="V62" i="8"/>
  <c r="U62" i="8"/>
  <c r="T62" i="8"/>
  <c r="S62" i="8"/>
  <c r="R62" i="8"/>
  <c r="Q62" i="8"/>
  <c r="P62" i="8"/>
  <c r="O62" i="8"/>
  <c r="N62" i="8"/>
  <c r="M62" i="8"/>
  <c r="L62" i="8"/>
  <c r="K62" i="8"/>
  <c r="J62" i="8"/>
  <c r="I62" i="8"/>
  <c r="H62" i="8"/>
  <c r="G62" i="8"/>
  <c r="F62" i="8"/>
  <c r="E62" i="8"/>
  <c r="D62" i="8"/>
  <c r="C62" i="8"/>
  <c r="B62" i="8"/>
  <c r="BF18" i="8"/>
  <c r="BF21" i="8"/>
  <c r="BF24" i="8"/>
  <c r="BF27" i="8"/>
  <c r="BF30" i="8"/>
  <c r="BF33" i="8"/>
  <c r="BF36" i="8"/>
  <c r="BF39" i="8"/>
  <c r="BF42" i="8"/>
  <c r="BF45" i="8"/>
  <c r="BF48" i="8"/>
  <c r="BF51" i="8"/>
  <c r="BF54" i="8"/>
  <c r="BF59" i="8"/>
  <c r="BE18" i="8"/>
  <c r="BE21" i="8"/>
  <c r="BE24" i="8"/>
  <c r="BE27" i="8"/>
  <c r="BE30" i="8"/>
  <c r="BE33" i="8"/>
  <c r="BE36" i="8"/>
  <c r="BE39" i="8"/>
  <c r="BE42" i="8"/>
  <c r="BE45" i="8"/>
  <c r="BE48" i="8"/>
  <c r="BE51" i="8"/>
  <c r="BE54" i="8"/>
  <c r="BE59" i="8"/>
  <c r="BE61" i="8"/>
  <c r="BD18" i="8"/>
  <c r="BD21" i="8"/>
  <c r="BD24" i="8"/>
  <c r="BD27" i="8"/>
  <c r="BD30" i="8"/>
  <c r="BD33" i="8"/>
  <c r="BD36" i="8"/>
  <c r="BD39" i="8"/>
  <c r="BD42" i="8"/>
  <c r="BD45" i="8"/>
  <c r="BD48" i="8"/>
  <c r="BD51" i="8"/>
  <c r="BD54" i="8"/>
  <c r="BD59" i="8"/>
  <c r="BC18" i="8"/>
  <c r="BC21" i="8"/>
  <c r="BC24" i="8"/>
  <c r="BC27" i="8"/>
  <c r="BC33" i="8"/>
  <c r="BC36" i="8"/>
  <c r="BC39" i="8"/>
  <c r="BC42" i="8"/>
  <c r="BC45" i="8"/>
  <c r="BC48" i="8"/>
  <c r="BC51" i="8"/>
  <c r="BC54" i="8"/>
  <c r="BC59" i="8"/>
  <c r="BB18" i="8"/>
  <c r="BB21" i="8"/>
  <c r="BB24" i="8"/>
  <c r="BB27" i="8"/>
  <c r="BB30" i="8"/>
  <c r="BB33" i="8"/>
  <c r="BB36" i="8"/>
  <c r="BB39" i="8"/>
  <c r="BB42" i="8"/>
  <c r="BB45" i="8"/>
  <c r="BB48" i="8"/>
  <c r="BB51" i="8"/>
  <c r="BB54" i="8"/>
  <c r="BB59" i="8"/>
  <c r="BA18" i="8"/>
  <c r="BA21" i="8"/>
  <c r="BA24" i="8"/>
  <c r="BA27" i="8"/>
  <c r="BA30" i="8"/>
  <c r="BA33" i="8"/>
  <c r="BA36" i="8"/>
  <c r="BA39" i="8"/>
  <c r="BA42" i="8"/>
  <c r="BA45" i="8"/>
  <c r="BA48" i="8"/>
  <c r="BA51" i="8"/>
  <c r="BA54" i="8"/>
  <c r="BA59" i="8"/>
  <c r="AZ18" i="8"/>
  <c r="AZ24" i="8"/>
  <c r="AZ27" i="8"/>
  <c r="AZ30" i="8"/>
  <c r="AZ33" i="8"/>
  <c r="AZ36" i="8"/>
  <c r="AZ39" i="8"/>
  <c r="AZ42" i="8"/>
  <c r="AZ45" i="8"/>
  <c r="AZ48" i="8"/>
  <c r="AZ51" i="8"/>
  <c r="AZ54" i="8"/>
  <c r="AZ59" i="8"/>
  <c r="AY18" i="8"/>
  <c r="AY21" i="8"/>
  <c r="AY61" i="8" s="1"/>
  <c r="AY24" i="8"/>
  <c r="AY27" i="8"/>
  <c r="AY30" i="8"/>
  <c r="AY33" i="8"/>
  <c r="AY36" i="8"/>
  <c r="AY39" i="8"/>
  <c r="AY42" i="8"/>
  <c r="AY45" i="8"/>
  <c r="AY48" i="8"/>
  <c r="AY51" i="8"/>
  <c r="AY54" i="8"/>
  <c r="AY59" i="8"/>
  <c r="AX18" i="8"/>
  <c r="AX21" i="8"/>
  <c r="AX24" i="8"/>
  <c r="AX27" i="8"/>
  <c r="AX30" i="8"/>
  <c r="AX33" i="8"/>
  <c r="AX36" i="8"/>
  <c r="AX39" i="8"/>
  <c r="AX42" i="8"/>
  <c r="AX45" i="8"/>
  <c r="AX48" i="8"/>
  <c r="AX51" i="8"/>
  <c r="AX54" i="8"/>
  <c r="AX59" i="8"/>
  <c r="AW18" i="8"/>
  <c r="AW21" i="8"/>
  <c r="AW24" i="8"/>
  <c r="AW27" i="8"/>
  <c r="AW30" i="8"/>
  <c r="AW33" i="8"/>
  <c r="AW36" i="8"/>
  <c r="AW39" i="8"/>
  <c r="AW42" i="8"/>
  <c r="AW45" i="8"/>
  <c r="AW48" i="8"/>
  <c r="AW51" i="8"/>
  <c r="AW54" i="8"/>
  <c r="AW59" i="8"/>
  <c r="AV18" i="8"/>
  <c r="AV21" i="8"/>
  <c r="AV24" i="8"/>
  <c r="AV27" i="8"/>
  <c r="AV30" i="8"/>
  <c r="AV33" i="8"/>
  <c r="AV36" i="8"/>
  <c r="AV39" i="8"/>
  <c r="AV42" i="8"/>
  <c r="AV45" i="8"/>
  <c r="AV48" i="8"/>
  <c r="AV51" i="8"/>
  <c r="AV54" i="8"/>
  <c r="AV59" i="8"/>
  <c r="AU18" i="8"/>
  <c r="AU21" i="8"/>
  <c r="AU24" i="8"/>
  <c r="AU27" i="8"/>
  <c r="AU30" i="8"/>
  <c r="AU33" i="8"/>
  <c r="AU36" i="8"/>
  <c r="AU39" i="8"/>
  <c r="AU42" i="8"/>
  <c r="AU45" i="8"/>
  <c r="AU48" i="8"/>
  <c r="AU51" i="8"/>
  <c r="AU54" i="8"/>
  <c r="AU59" i="8"/>
  <c r="AT18" i="8"/>
  <c r="AT21" i="8"/>
  <c r="AT24" i="8"/>
  <c r="AT27" i="8"/>
  <c r="AT30" i="8"/>
  <c r="AT33" i="8"/>
  <c r="AT36" i="8"/>
  <c r="AT39" i="8"/>
  <c r="AT42" i="8"/>
  <c r="AT45" i="8"/>
  <c r="AT48" i="8"/>
  <c r="AT51" i="8"/>
  <c r="AT54" i="8"/>
  <c r="AT59" i="8"/>
  <c r="AS18" i="8"/>
  <c r="AS21" i="8"/>
  <c r="AS24" i="8"/>
  <c r="AS27" i="8"/>
  <c r="AS30" i="8"/>
  <c r="AS33" i="8"/>
  <c r="AS36" i="8"/>
  <c r="AS39" i="8"/>
  <c r="AS42" i="8"/>
  <c r="AS45" i="8"/>
  <c r="AS48" i="8"/>
  <c r="AS51" i="8"/>
  <c r="AS54" i="8"/>
  <c r="AS59" i="8"/>
  <c r="AR18" i="8"/>
  <c r="AR24" i="8"/>
  <c r="AR33" i="8"/>
  <c r="AR36" i="8"/>
  <c r="AR39" i="8"/>
  <c r="AR42" i="8"/>
  <c r="AR45" i="8"/>
  <c r="AR48" i="8"/>
  <c r="AR51" i="8"/>
  <c r="AR54" i="8"/>
  <c r="AR59" i="8"/>
  <c r="AQ18" i="8"/>
  <c r="AQ24" i="8"/>
  <c r="AQ27" i="8"/>
  <c r="AQ30" i="8"/>
  <c r="AQ33" i="8"/>
  <c r="AQ36" i="8"/>
  <c r="AQ39" i="8"/>
  <c r="AQ42" i="8"/>
  <c r="AQ45" i="8"/>
  <c r="AQ48" i="8"/>
  <c r="AQ51" i="8"/>
  <c r="AQ54" i="8"/>
  <c r="AQ59" i="8"/>
  <c r="AP18" i="8"/>
  <c r="AP21" i="8"/>
  <c r="AP24" i="8"/>
  <c r="AP27" i="8"/>
  <c r="AP30" i="8"/>
  <c r="AP33" i="8"/>
  <c r="AP36" i="8"/>
  <c r="AP39" i="8"/>
  <c r="AP42" i="8"/>
  <c r="AP45" i="8"/>
  <c r="AP48" i="8"/>
  <c r="AP51" i="8"/>
  <c r="AP54" i="8"/>
  <c r="AP59" i="8"/>
  <c r="AO18" i="8"/>
  <c r="AO24" i="8"/>
  <c r="AO27" i="8"/>
  <c r="AO30" i="8"/>
  <c r="AO33" i="8"/>
  <c r="AO36" i="8"/>
  <c r="AO39" i="8"/>
  <c r="AO42" i="8"/>
  <c r="AO45" i="8"/>
  <c r="AO48" i="8"/>
  <c r="AO51" i="8"/>
  <c r="AO54" i="8"/>
  <c r="AO59" i="8"/>
  <c r="AN18" i="8"/>
  <c r="AN21" i="8"/>
  <c r="AN61" i="8" s="1"/>
  <c r="AN24" i="8"/>
  <c r="AN27" i="8"/>
  <c r="AN30" i="8"/>
  <c r="AN33" i="8"/>
  <c r="AN36" i="8"/>
  <c r="AN39" i="8"/>
  <c r="AN42" i="8"/>
  <c r="AN45" i="8"/>
  <c r="AN48" i="8"/>
  <c r="AN51" i="8"/>
  <c r="AN54" i="8"/>
  <c r="AN59" i="8"/>
  <c r="AM18" i="8"/>
  <c r="AM21" i="8"/>
  <c r="AM24" i="8"/>
  <c r="AM33" i="8"/>
  <c r="AM36" i="8"/>
  <c r="AM39" i="8"/>
  <c r="AM42" i="8"/>
  <c r="AM45" i="8"/>
  <c r="AM48" i="8"/>
  <c r="AM51" i="8"/>
  <c r="AM54" i="8"/>
  <c r="AM59" i="8"/>
  <c r="AL18" i="8"/>
  <c r="AL21" i="8"/>
  <c r="AL24" i="8"/>
  <c r="AL27" i="8"/>
  <c r="AL30" i="8"/>
  <c r="AL33" i="8"/>
  <c r="AL36" i="8"/>
  <c r="AL39" i="8"/>
  <c r="AL42" i="8"/>
  <c r="AL45" i="8"/>
  <c r="AL48" i="8"/>
  <c r="AL51" i="8"/>
  <c r="AL54" i="8"/>
  <c r="AL59" i="8"/>
  <c r="AK18" i="8"/>
  <c r="AK21" i="8"/>
  <c r="AK24" i="8"/>
  <c r="AK27" i="8"/>
  <c r="AK30" i="8"/>
  <c r="AK33" i="8"/>
  <c r="AK36" i="8"/>
  <c r="AK39" i="8"/>
  <c r="AK42" i="8"/>
  <c r="AK45" i="8"/>
  <c r="AK48" i="8"/>
  <c r="AK51" i="8"/>
  <c r="AK54" i="8"/>
  <c r="AK59" i="8"/>
  <c r="AJ18" i="8"/>
  <c r="AJ24" i="8"/>
  <c r="AJ27" i="8"/>
  <c r="AJ30" i="8"/>
  <c r="AJ33" i="8"/>
  <c r="AJ36" i="8"/>
  <c r="AJ39" i="8"/>
  <c r="AJ42" i="8"/>
  <c r="AJ45" i="8"/>
  <c r="AJ48" i="8"/>
  <c r="AJ51" i="8"/>
  <c r="AJ54" i="8"/>
  <c r="AJ59" i="8"/>
  <c r="AI18" i="8"/>
  <c r="AI24" i="8"/>
  <c r="AI27" i="8"/>
  <c r="AI30" i="8"/>
  <c r="AI33" i="8"/>
  <c r="AI36" i="8"/>
  <c r="AI39" i="8"/>
  <c r="AI42" i="8"/>
  <c r="AI45" i="8"/>
  <c r="AI48" i="8"/>
  <c r="AI51" i="8"/>
  <c r="AI54" i="8"/>
  <c r="AI59" i="8"/>
  <c r="AH18" i="8"/>
  <c r="AH24" i="8"/>
  <c r="AH27" i="8"/>
  <c r="AH30" i="8"/>
  <c r="AH33" i="8"/>
  <c r="AH36" i="8"/>
  <c r="AH39" i="8"/>
  <c r="AH42" i="8"/>
  <c r="AH45" i="8"/>
  <c r="AH48" i="8"/>
  <c r="AH51" i="8"/>
  <c r="AH54" i="8"/>
  <c r="AH59" i="8"/>
  <c r="AG18" i="8"/>
  <c r="AG21" i="8"/>
  <c r="AG24" i="8"/>
  <c r="AG27" i="8"/>
  <c r="AG30" i="8"/>
  <c r="AG33" i="8"/>
  <c r="AG36" i="8"/>
  <c r="AG39" i="8"/>
  <c r="AG42" i="8"/>
  <c r="AG45" i="8"/>
  <c r="AG48" i="8"/>
  <c r="AG51" i="8"/>
  <c r="AG54" i="8"/>
  <c r="AG59" i="8"/>
  <c r="AF18" i="8"/>
  <c r="AF21" i="8"/>
  <c r="AF24" i="8"/>
  <c r="AF27" i="8"/>
  <c r="AF30" i="8"/>
  <c r="AF33" i="8"/>
  <c r="AF36" i="8"/>
  <c r="AF39" i="8"/>
  <c r="AF42" i="8"/>
  <c r="AF45" i="8"/>
  <c r="AF48" i="8"/>
  <c r="AF51" i="8"/>
  <c r="AF54" i="8"/>
  <c r="AF59" i="8"/>
  <c r="AE18" i="8"/>
  <c r="AE21" i="8"/>
  <c r="AE24" i="8"/>
  <c r="AE27" i="8"/>
  <c r="AE30" i="8"/>
  <c r="AE33" i="8"/>
  <c r="AE36" i="8"/>
  <c r="AE39" i="8"/>
  <c r="AE42" i="8"/>
  <c r="AE45" i="8"/>
  <c r="AE48" i="8"/>
  <c r="AE51" i="8"/>
  <c r="AE54" i="8"/>
  <c r="AE59" i="8"/>
  <c r="AD18" i="8"/>
  <c r="AD21" i="8"/>
  <c r="AD24" i="8"/>
  <c r="AD27" i="8"/>
  <c r="AD30" i="8"/>
  <c r="AD33" i="8"/>
  <c r="AD36" i="8"/>
  <c r="AD39" i="8"/>
  <c r="AD42" i="8"/>
  <c r="AD45" i="8"/>
  <c r="AD48" i="8"/>
  <c r="AD51" i="8"/>
  <c r="AD54" i="8"/>
  <c r="AD59" i="8"/>
  <c r="AC18" i="8"/>
  <c r="AC21" i="8"/>
  <c r="AC61" i="8" s="1"/>
  <c r="AC24" i="8"/>
  <c r="AC27" i="8"/>
  <c r="AC30" i="8"/>
  <c r="AC33" i="8"/>
  <c r="AC36" i="8"/>
  <c r="AC39" i="8"/>
  <c r="AC42" i="8"/>
  <c r="AC45" i="8"/>
  <c r="AC48" i="8"/>
  <c r="AC51" i="8"/>
  <c r="AC54" i="8"/>
  <c r="AC59" i="8"/>
  <c r="AB18" i="8"/>
  <c r="AB24" i="8"/>
  <c r="AB27" i="8"/>
  <c r="AB30" i="8"/>
  <c r="AB33" i="8"/>
  <c r="AB36" i="8"/>
  <c r="AB39" i="8"/>
  <c r="AB42" i="8"/>
  <c r="AB45" i="8"/>
  <c r="AB48" i="8"/>
  <c r="AB51" i="8"/>
  <c r="AB54" i="8"/>
  <c r="AB59" i="8"/>
  <c r="AA18" i="8"/>
  <c r="AA24" i="8"/>
  <c r="AA27" i="8"/>
  <c r="AA30" i="8"/>
  <c r="AA33" i="8"/>
  <c r="AA36" i="8"/>
  <c r="AA39" i="8"/>
  <c r="AA42" i="8"/>
  <c r="AA45" i="8"/>
  <c r="AA48" i="8"/>
  <c r="AA51" i="8"/>
  <c r="AA54" i="8"/>
  <c r="AA59" i="8"/>
  <c r="Z18" i="8"/>
  <c r="Z21" i="8"/>
  <c r="Z24" i="8"/>
  <c r="Z27" i="8"/>
  <c r="Z30" i="8"/>
  <c r="Z33" i="8"/>
  <c r="Z36" i="8"/>
  <c r="Z39" i="8"/>
  <c r="Z42" i="8"/>
  <c r="Z45" i="8"/>
  <c r="Z48" i="8"/>
  <c r="Z51" i="8"/>
  <c r="Z54" i="8"/>
  <c r="Z59" i="8"/>
  <c r="Z61" i="8"/>
  <c r="Y18" i="8"/>
  <c r="Y21" i="8"/>
  <c r="Y24" i="8"/>
  <c r="Y27" i="8"/>
  <c r="Y30" i="8"/>
  <c r="Y33" i="8"/>
  <c r="Y36" i="8"/>
  <c r="Y39" i="8"/>
  <c r="Y42" i="8"/>
  <c r="Y45" i="8"/>
  <c r="Y48" i="8"/>
  <c r="Y51" i="8"/>
  <c r="Y54" i="8"/>
  <c r="Y59" i="8"/>
  <c r="X18" i="8"/>
  <c r="X21" i="8"/>
  <c r="X24" i="8"/>
  <c r="X27" i="8"/>
  <c r="X30" i="8"/>
  <c r="X33" i="8"/>
  <c r="X36" i="8"/>
  <c r="X39" i="8"/>
  <c r="X42" i="8"/>
  <c r="X45" i="8"/>
  <c r="X48" i="8"/>
  <c r="X51" i="8"/>
  <c r="X54" i="8"/>
  <c r="X59" i="8"/>
  <c r="W18" i="8"/>
  <c r="W21" i="8"/>
  <c r="W24" i="8"/>
  <c r="W27" i="8"/>
  <c r="W30" i="8"/>
  <c r="W33" i="8"/>
  <c r="W36" i="8"/>
  <c r="W39" i="8"/>
  <c r="W42" i="8"/>
  <c r="W45" i="8"/>
  <c r="W48" i="8"/>
  <c r="W51" i="8"/>
  <c r="W54" i="8"/>
  <c r="W59" i="8"/>
  <c r="V18" i="8"/>
  <c r="V24" i="8"/>
  <c r="V27" i="8"/>
  <c r="V30" i="8"/>
  <c r="V33" i="8"/>
  <c r="V36" i="8"/>
  <c r="V39" i="8"/>
  <c r="V42" i="8"/>
  <c r="V45" i="8"/>
  <c r="V48" i="8"/>
  <c r="V51" i="8"/>
  <c r="V54" i="8"/>
  <c r="V59" i="8"/>
  <c r="U18" i="8"/>
  <c r="U21" i="8"/>
  <c r="U24" i="8"/>
  <c r="U27" i="8"/>
  <c r="U33" i="8"/>
  <c r="U36" i="8"/>
  <c r="U39" i="8"/>
  <c r="U42" i="8"/>
  <c r="U45" i="8"/>
  <c r="U48" i="8"/>
  <c r="U51" i="8"/>
  <c r="U54" i="8"/>
  <c r="U59" i="8"/>
  <c r="T18" i="8"/>
  <c r="T21" i="8"/>
  <c r="T61" i="8" s="1"/>
  <c r="T24" i="8"/>
  <c r="T27" i="8"/>
  <c r="T30" i="8"/>
  <c r="T33" i="8"/>
  <c r="T36" i="8"/>
  <c r="T39" i="8"/>
  <c r="T42" i="8"/>
  <c r="T45" i="8"/>
  <c r="T48" i="8"/>
  <c r="T51" i="8"/>
  <c r="T54" i="8"/>
  <c r="T59" i="8"/>
  <c r="S18" i="8"/>
  <c r="S21" i="8"/>
  <c r="S24" i="8"/>
  <c r="S27" i="8"/>
  <c r="S30" i="8"/>
  <c r="S33" i="8"/>
  <c r="S36" i="8"/>
  <c r="S39" i="8"/>
  <c r="S42" i="8"/>
  <c r="S45" i="8"/>
  <c r="S48" i="8"/>
  <c r="S51" i="8"/>
  <c r="S54" i="8"/>
  <c r="S59" i="8"/>
  <c r="R18" i="8"/>
  <c r="R21" i="8"/>
  <c r="R24" i="8"/>
  <c r="R27" i="8"/>
  <c r="R30" i="8"/>
  <c r="R33" i="8"/>
  <c r="R36" i="8"/>
  <c r="R39" i="8"/>
  <c r="R42" i="8"/>
  <c r="R45" i="8"/>
  <c r="R48" i="8"/>
  <c r="R51" i="8"/>
  <c r="R54" i="8"/>
  <c r="R59" i="8"/>
  <c r="Q18" i="8"/>
  <c r="Q21" i="8"/>
  <c r="Q24" i="8"/>
  <c r="Q27" i="8"/>
  <c r="Q30" i="8"/>
  <c r="Q33" i="8"/>
  <c r="Q36" i="8"/>
  <c r="Q39" i="8"/>
  <c r="Q42" i="8"/>
  <c r="Q45" i="8"/>
  <c r="Q48" i="8"/>
  <c r="Q51" i="8"/>
  <c r="Q54" i="8"/>
  <c r="Q59" i="8"/>
  <c r="P18" i="8"/>
  <c r="P21" i="8"/>
  <c r="P24" i="8"/>
  <c r="P27" i="8"/>
  <c r="P30" i="8"/>
  <c r="P33" i="8"/>
  <c r="P36" i="8"/>
  <c r="P39" i="8"/>
  <c r="P42" i="8"/>
  <c r="P45" i="8"/>
  <c r="P48" i="8"/>
  <c r="P51" i="8"/>
  <c r="P54" i="8"/>
  <c r="P59" i="8"/>
  <c r="O18" i="8"/>
  <c r="O21" i="8"/>
  <c r="O24" i="8"/>
  <c r="O27" i="8"/>
  <c r="O30" i="8"/>
  <c r="O33" i="8"/>
  <c r="O36" i="8"/>
  <c r="O39" i="8"/>
  <c r="O42" i="8"/>
  <c r="O45" i="8"/>
  <c r="O48" i="8"/>
  <c r="O51" i="8"/>
  <c r="O54" i="8"/>
  <c r="O59" i="8"/>
  <c r="N18" i="8"/>
  <c r="N24" i="8"/>
  <c r="N27" i="8"/>
  <c r="N30" i="8"/>
  <c r="N33" i="8"/>
  <c r="N36" i="8"/>
  <c r="N39" i="8"/>
  <c r="N42" i="8"/>
  <c r="N45" i="8"/>
  <c r="N48" i="8"/>
  <c r="N51" i="8"/>
  <c r="N54" i="8"/>
  <c r="N59" i="8"/>
  <c r="M18" i="8"/>
  <c r="M21" i="8"/>
  <c r="M61" i="8" s="1"/>
  <c r="M24" i="8"/>
  <c r="M27" i="8"/>
  <c r="M30" i="8"/>
  <c r="M33" i="8"/>
  <c r="M36" i="8"/>
  <c r="M39" i="8"/>
  <c r="M42" i="8"/>
  <c r="M45" i="8"/>
  <c r="M48" i="8"/>
  <c r="M51" i="8"/>
  <c r="M54" i="8"/>
  <c r="M59" i="8"/>
  <c r="L18" i="8"/>
  <c r="L24" i="8"/>
  <c r="L27" i="8"/>
  <c r="L30" i="8"/>
  <c r="L33" i="8"/>
  <c r="L36" i="8"/>
  <c r="L39" i="8"/>
  <c r="L42" i="8"/>
  <c r="L45" i="8"/>
  <c r="L48" i="8"/>
  <c r="L51" i="8"/>
  <c r="L54" i="8"/>
  <c r="L59" i="8"/>
  <c r="K18" i="8"/>
  <c r="K24" i="8"/>
  <c r="K27" i="8"/>
  <c r="K33" i="8"/>
  <c r="K36" i="8"/>
  <c r="K39" i="8"/>
  <c r="K42" i="8"/>
  <c r="K45" i="8"/>
  <c r="K48" i="8"/>
  <c r="K51" i="8"/>
  <c r="K54" i="8"/>
  <c r="K59" i="8"/>
  <c r="J18" i="8"/>
  <c r="J21" i="8"/>
  <c r="J24" i="8"/>
  <c r="J27" i="8"/>
  <c r="J30" i="8"/>
  <c r="J33" i="8"/>
  <c r="J36" i="8"/>
  <c r="J39" i="8"/>
  <c r="J42" i="8"/>
  <c r="J45" i="8"/>
  <c r="J48" i="8"/>
  <c r="J51" i="8"/>
  <c r="J54" i="8"/>
  <c r="J59" i="8"/>
  <c r="I18" i="8"/>
  <c r="I21" i="8"/>
  <c r="I24" i="8"/>
  <c r="I27" i="8"/>
  <c r="I30" i="8"/>
  <c r="I33" i="8"/>
  <c r="I36" i="8"/>
  <c r="I39" i="8"/>
  <c r="I42" i="8"/>
  <c r="I45" i="8"/>
  <c r="I48" i="8"/>
  <c r="I51" i="8"/>
  <c r="I54" i="8"/>
  <c r="I59" i="8"/>
  <c r="H18" i="8"/>
  <c r="H21" i="8"/>
  <c r="H61" i="8" s="1"/>
  <c r="H24" i="8"/>
  <c r="H27" i="8"/>
  <c r="H30" i="8"/>
  <c r="H33" i="8"/>
  <c r="H36" i="8"/>
  <c r="H39" i="8"/>
  <c r="H42" i="8"/>
  <c r="H45" i="8"/>
  <c r="H48" i="8"/>
  <c r="H51" i="8"/>
  <c r="H54" i="8"/>
  <c r="H59" i="8"/>
  <c r="G18" i="8"/>
  <c r="G21" i="8"/>
  <c r="G24" i="8"/>
  <c r="G27" i="8"/>
  <c r="G30" i="8"/>
  <c r="G33" i="8"/>
  <c r="G36" i="8"/>
  <c r="G39" i="8"/>
  <c r="G42" i="8"/>
  <c r="G45" i="8"/>
  <c r="G48" i="8"/>
  <c r="G51" i="8"/>
  <c r="G54" i="8"/>
  <c r="G59" i="8"/>
  <c r="F18" i="8"/>
  <c r="F21" i="8"/>
  <c r="F24" i="8"/>
  <c r="F27" i="8"/>
  <c r="F30" i="8"/>
  <c r="F33" i="8"/>
  <c r="F36" i="8"/>
  <c r="F39" i="8"/>
  <c r="F42" i="8"/>
  <c r="F45" i="8"/>
  <c r="F48" i="8"/>
  <c r="F51" i="8"/>
  <c r="F54" i="8"/>
  <c r="F59" i="8"/>
  <c r="E18" i="8"/>
  <c r="E21" i="8"/>
  <c r="E24" i="8"/>
  <c r="E27" i="8"/>
  <c r="E30" i="8"/>
  <c r="E33" i="8"/>
  <c r="E36" i="8"/>
  <c r="E39" i="8"/>
  <c r="E42" i="8"/>
  <c r="E45" i="8"/>
  <c r="E48" i="8"/>
  <c r="E51" i="8"/>
  <c r="E54" i="8"/>
  <c r="E59" i="8"/>
  <c r="D18" i="8"/>
  <c r="D21" i="8"/>
  <c r="D24" i="8"/>
  <c r="D27" i="8"/>
  <c r="D30" i="8"/>
  <c r="D33" i="8"/>
  <c r="D36" i="8"/>
  <c r="D39" i="8"/>
  <c r="D42" i="8"/>
  <c r="D45" i="8"/>
  <c r="D48" i="8"/>
  <c r="D51" i="8"/>
  <c r="D54" i="8"/>
  <c r="D59" i="8"/>
  <c r="C18" i="8"/>
  <c r="C21" i="8"/>
  <c r="C24" i="8"/>
  <c r="C27" i="8"/>
  <c r="C30" i="8"/>
  <c r="C33" i="8"/>
  <c r="C36" i="8"/>
  <c r="C39" i="8"/>
  <c r="C42" i="8"/>
  <c r="C45" i="8"/>
  <c r="C48" i="8"/>
  <c r="C51" i="8"/>
  <c r="C54" i="8"/>
  <c r="C59" i="8"/>
  <c r="B18" i="8"/>
  <c r="B21" i="8"/>
  <c r="B24" i="8"/>
  <c r="B27" i="8"/>
  <c r="B30" i="8"/>
  <c r="B33" i="8"/>
  <c r="B36" i="8"/>
  <c r="B39" i="8"/>
  <c r="B42" i="8"/>
  <c r="B45" i="8"/>
  <c r="B48" i="8"/>
  <c r="B51" i="8"/>
  <c r="B54" i="8"/>
  <c r="B59" i="8"/>
  <c r="BF56" i="8"/>
  <c r="BE56" i="8"/>
  <c r="BD56" i="8"/>
  <c r="BC56" i="8"/>
  <c r="BB56" i="8"/>
  <c r="BA56" i="8"/>
  <c r="AZ56" i="8"/>
  <c r="AY56" i="8"/>
  <c r="AX56" i="8"/>
  <c r="AW56" i="8"/>
  <c r="AV56" i="8"/>
  <c r="AU56" i="8"/>
  <c r="AT56" i="8"/>
  <c r="AS56" i="8"/>
  <c r="AR56" i="8"/>
  <c r="AQ56" i="8"/>
  <c r="AP56" i="8"/>
  <c r="AO56" i="8"/>
  <c r="AN56" i="8"/>
  <c r="AM56" i="8"/>
  <c r="AL56" i="8"/>
  <c r="AK56" i="8"/>
  <c r="AJ56" i="8"/>
  <c r="AI56" i="8"/>
  <c r="AH56" i="8"/>
  <c r="AG56" i="8"/>
  <c r="AF56" i="8"/>
  <c r="AE56" i="8"/>
  <c r="AD56" i="8"/>
  <c r="AC56" i="8"/>
  <c r="AB56" i="8"/>
  <c r="AA56" i="8"/>
  <c r="Z56" i="8"/>
  <c r="Y56" i="8"/>
  <c r="X56" i="8"/>
  <c r="W56" i="8"/>
  <c r="V56" i="8"/>
  <c r="U56" i="8"/>
  <c r="T56" i="8"/>
  <c r="S56" i="8"/>
  <c r="R56" i="8"/>
  <c r="Q56" i="8"/>
  <c r="P56" i="8"/>
  <c r="O56" i="8"/>
  <c r="N56" i="8"/>
  <c r="M56" i="8"/>
  <c r="L56" i="8"/>
  <c r="K56" i="8"/>
  <c r="J56" i="8"/>
  <c r="I56" i="8"/>
  <c r="H56" i="8"/>
  <c r="G56" i="8"/>
  <c r="F56" i="8"/>
  <c r="E56" i="8"/>
  <c r="D56" i="8"/>
  <c r="C56" i="8"/>
  <c r="B56" i="8"/>
  <c r="BF12" i="8"/>
  <c r="BE12" i="8"/>
  <c r="BD12" i="8"/>
  <c r="BC12" i="8"/>
  <c r="BB12" i="8"/>
  <c r="BA12" i="8"/>
  <c r="AZ12" i="8"/>
  <c r="AY12" i="8"/>
  <c r="AX12" i="8"/>
  <c r="AW12" i="8"/>
  <c r="AV12" i="8"/>
  <c r="AU12" i="8"/>
  <c r="AT12" i="8"/>
  <c r="AS12" i="8"/>
  <c r="AR12" i="8"/>
  <c r="AQ12" i="8"/>
  <c r="AP12" i="8"/>
  <c r="AO12" i="8"/>
  <c r="AN12" i="8"/>
  <c r="AM12" i="8"/>
  <c r="AL12" i="8"/>
  <c r="AK12" i="8"/>
  <c r="AJ12" i="8"/>
  <c r="AI12" i="8"/>
  <c r="AH12" i="8"/>
  <c r="AG12" i="8"/>
  <c r="AF12" i="8"/>
  <c r="AE12" i="8"/>
  <c r="AD12" i="8"/>
  <c r="AC12" i="8"/>
  <c r="AB12" i="8"/>
  <c r="AA12" i="8"/>
  <c r="Z12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B12" i="8"/>
  <c r="BG66" i="5"/>
  <c r="BF66" i="5"/>
  <c r="BG22" i="5"/>
  <c r="BG25" i="5"/>
  <c r="BG28" i="5"/>
  <c r="BG31" i="5"/>
  <c r="BG34" i="5"/>
  <c r="BG37" i="5"/>
  <c r="BG40" i="5"/>
  <c r="BG43" i="5"/>
  <c r="BG46" i="5"/>
  <c r="BG49" i="5"/>
  <c r="BG52" i="5"/>
  <c r="BG55" i="5"/>
  <c r="BG58" i="5"/>
  <c r="BG63" i="5"/>
  <c r="BF22" i="5"/>
  <c r="BF25" i="5"/>
  <c r="BF28" i="5"/>
  <c r="BF31" i="5"/>
  <c r="BF34" i="5"/>
  <c r="BF37" i="5"/>
  <c r="BF40" i="5"/>
  <c r="BF43" i="5"/>
  <c r="BF46" i="5"/>
  <c r="BF49" i="5"/>
  <c r="BF52" i="5"/>
  <c r="BF55" i="5"/>
  <c r="BF58" i="5"/>
  <c r="BF63" i="5"/>
  <c r="BG60" i="5"/>
  <c r="BF60" i="5"/>
  <c r="BG14" i="5"/>
  <c r="BF14" i="5"/>
  <c r="AE66" i="2"/>
  <c r="AF66" i="2"/>
  <c r="AG66" i="2"/>
  <c r="AE22" i="2"/>
  <c r="AE25" i="2"/>
  <c r="AE28" i="2"/>
  <c r="AE31" i="2"/>
  <c r="AE34" i="2"/>
  <c r="AE37" i="2"/>
  <c r="AE40" i="2"/>
  <c r="AE43" i="2"/>
  <c r="AE46" i="2"/>
  <c r="AE49" i="2"/>
  <c r="AE52" i="2"/>
  <c r="AE55" i="2"/>
  <c r="AE58" i="2"/>
  <c r="AE63" i="2"/>
  <c r="AF22" i="2"/>
  <c r="AF25" i="2"/>
  <c r="AF28" i="2"/>
  <c r="AF31" i="2"/>
  <c r="AF34" i="2"/>
  <c r="AF37" i="2"/>
  <c r="AF40" i="2"/>
  <c r="AF43" i="2"/>
  <c r="AF46" i="2"/>
  <c r="AF49" i="2"/>
  <c r="AF52" i="2"/>
  <c r="AF55" i="2"/>
  <c r="AF58" i="2"/>
  <c r="AF63" i="2"/>
  <c r="AG22" i="2"/>
  <c r="AG25" i="2"/>
  <c r="AG65" i="2" s="1"/>
  <c r="AG28" i="2"/>
  <c r="AG31" i="2"/>
  <c r="AG34" i="2"/>
  <c r="AG37" i="2"/>
  <c r="AG40" i="2"/>
  <c r="AG43" i="2"/>
  <c r="AG46" i="2"/>
  <c r="AG49" i="2"/>
  <c r="AG52" i="2"/>
  <c r="AG55" i="2"/>
  <c r="AG58" i="2"/>
  <c r="AG63" i="2"/>
  <c r="AE60" i="2"/>
  <c r="AF60" i="2"/>
  <c r="AG60" i="2"/>
  <c r="AE14" i="2"/>
  <c r="AF14" i="2"/>
  <c r="AG14" i="2"/>
  <c r="AC66" i="5"/>
  <c r="AC22" i="5"/>
  <c r="AC28" i="5"/>
  <c r="AC31" i="5"/>
  <c r="AC34" i="5"/>
  <c r="AC37" i="5"/>
  <c r="AC40" i="5"/>
  <c r="AC43" i="5"/>
  <c r="AC46" i="5"/>
  <c r="AC49" i="5"/>
  <c r="AC52" i="5"/>
  <c r="AC55" i="5"/>
  <c r="AC58" i="5"/>
  <c r="AC63" i="5"/>
  <c r="AC60" i="5"/>
  <c r="AC14" i="5"/>
  <c r="AC22" i="1"/>
  <c r="AC28" i="1"/>
  <c r="AC31" i="1"/>
  <c r="AC34" i="1"/>
  <c r="AC37" i="1"/>
  <c r="AC40" i="1"/>
  <c r="AC43" i="1"/>
  <c r="AC46" i="1"/>
  <c r="AC49" i="1"/>
  <c r="AC52" i="1"/>
  <c r="AC55" i="1"/>
  <c r="AC58" i="1"/>
  <c r="AC63" i="1"/>
  <c r="AD22" i="1"/>
  <c r="AD28" i="1"/>
  <c r="AD31" i="1"/>
  <c r="AD34" i="1"/>
  <c r="AD37" i="1"/>
  <c r="AD40" i="1"/>
  <c r="AD43" i="1"/>
  <c r="AD46" i="1"/>
  <c r="AD49" i="1"/>
  <c r="AD52" i="1"/>
  <c r="AD55" i="1"/>
  <c r="AD58" i="1"/>
  <c r="AD63" i="1"/>
  <c r="AE22" i="1"/>
  <c r="AE28" i="1"/>
  <c r="AE31" i="1"/>
  <c r="AE34" i="1"/>
  <c r="AE37" i="1"/>
  <c r="AE40" i="1"/>
  <c r="AE43" i="1"/>
  <c r="AE46" i="1"/>
  <c r="AE49" i="1"/>
  <c r="AE52" i="1"/>
  <c r="AE55" i="1"/>
  <c r="AE58" i="1"/>
  <c r="AE63" i="1"/>
  <c r="AF22" i="1"/>
  <c r="AF28" i="1"/>
  <c r="AF31" i="1"/>
  <c r="AF34" i="1"/>
  <c r="AF37" i="1"/>
  <c r="AF40" i="1"/>
  <c r="AF43" i="1"/>
  <c r="AF46" i="1"/>
  <c r="AF49" i="1"/>
  <c r="AF52" i="1"/>
  <c r="AF55" i="1"/>
  <c r="AF58" i="1"/>
  <c r="AF63" i="1"/>
  <c r="AG22" i="1"/>
  <c r="AG28" i="1"/>
  <c r="AG31" i="1"/>
  <c r="AG34" i="1"/>
  <c r="AG37" i="1"/>
  <c r="AG40" i="1"/>
  <c r="AG43" i="1"/>
  <c r="AG46" i="1"/>
  <c r="AG49" i="1"/>
  <c r="AG52" i="1"/>
  <c r="AG55" i="1"/>
  <c r="AG58" i="1"/>
  <c r="AG63" i="1"/>
  <c r="AC66" i="1"/>
  <c r="AD66" i="1"/>
  <c r="AE66" i="1"/>
  <c r="AF66" i="1"/>
  <c r="AG66" i="1"/>
  <c r="AC60" i="1"/>
  <c r="AD60" i="1"/>
  <c r="AE60" i="1"/>
  <c r="AF60" i="1"/>
  <c r="AG60" i="1"/>
  <c r="AC14" i="1"/>
  <c r="BE66" i="5"/>
  <c r="BD66" i="5"/>
  <c r="BC66" i="5"/>
  <c r="BB66" i="5"/>
  <c r="BA66" i="5"/>
  <c r="AZ66" i="5"/>
  <c r="AY66" i="5"/>
  <c r="AX66" i="5"/>
  <c r="AW66" i="5"/>
  <c r="AV66" i="5"/>
  <c r="AU66" i="5"/>
  <c r="AT66" i="5"/>
  <c r="AS66" i="5"/>
  <c r="AR66" i="5"/>
  <c r="AQ66" i="5"/>
  <c r="AP66" i="5"/>
  <c r="AO66" i="5"/>
  <c r="AN66" i="5"/>
  <c r="AM66" i="5"/>
  <c r="AL66" i="5"/>
  <c r="AK66" i="5"/>
  <c r="AJ66" i="5"/>
  <c r="AI66" i="5"/>
  <c r="AH66" i="5"/>
  <c r="AG66" i="5"/>
  <c r="AF66" i="5"/>
  <c r="AE66" i="5"/>
  <c r="AD66" i="5"/>
  <c r="BE22" i="5"/>
  <c r="BE25" i="5"/>
  <c r="BE28" i="5"/>
  <c r="BE31" i="5"/>
  <c r="BE34" i="5"/>
  <c r="BE37" i="5"/>
  <c r="BE40" i="5"/>
  <c r="BE43" i="5"/>
  <c r="BE46" i="5"/>
  <c r="BE49" i="5"/>
  <c r="BE52" i="5"/>
  <c r="BE55" i="5"/>
  <c r="BE58" i="5"/>
  <c r="BE63" i="5"/>
  <c r="BD22" i="5"/>
  <c r="BD65" i="5" s="1"/>
  <c r="BD25" i="5"/>
  <c r="BD28" i="5"/>
  <c r="BD31" i="5"/>
  <c r="BD37" i="5"/>
  <c r="BD40" i="5"/>
  <c r="BD43" i="5"/>
  <c r="BD46" i="5"/>
  <c r="BD49" i="5"/>
  <c r="BD52" i="5"/>
  <c r="BD55" i="5"/>
  <c r="BD58" i="5"/>
  <c r="BD63" i="5"/>
  <c r="BC22" i="5"/>
  <c r="BC25" i="5"/>
  <c r="BC65" i="5" s="1"/>
  <c r="BC28" i="5"/>
  <c r="BC31" i="5"/>
  <c r="BC34" i="5"/>
  <c r="BC37" i="5"/>
  <c r="BC40" i="5"/>
  <c r="BC43" i="5"/>
  <c r="BC46" i="5"/>
  <c r="BC49" i="5"/>
  <c r="BC52" i="5"/>
  <c r="BC55" i="5"/>
  <c r="BC58" i="5"/>
  <c r="BC63" i="5"/>
  <c r="BB22" i="5"/>
  <c r="BB25" i="5"/>
  <c r="BB28" i="5"/>
  <c r="BB31" i="5"/>
  <c r="BB34" i="5"/>
  <c r="BB37" i="5"/>
  <c r="BB40" i="5"/>
  <c r="BB43" i="5"/>
  <c r="BB46" i="5"/>
  <c r="BB49" i="5"/>
  <c r="BB52" i="5"/>
  <c r="BB55" i="5"/>
  <c r="BB58" i="5"/>
  <c r="BB63" i="5"/>
  <c r="BA22" i="5"/>
  <c r="BA28" i="5"/>
  <c r="BA31" i="5"/>
  <c r="BA34" i="5"/>
  <c r="BA37" i="5"/>
  <c r="BA40" i="5"/>
  <c r="BA43" i="5"/>
  <c r="BA46" i="5"/>
  <c r="BA49" i="5"/>
  <c r="BA52" i="5"/>
  <c r="BA55" i="5"/>
  <c r="BA58" i="5"/>
  <c r="BA63" i="5"/>
  <c r="AZ22" i="5"/>
  <c r="AZ25" i="5"/>
  <c r="AZ65" i="5" s="1"/>
  <c r="AZ28" i="5"/>
  <c r="AZ31" i="5"/>
  <c r="AZ34" i="5"/>
  <c r="AZ37" i="5"/>
  <c r="AZ40" i="5"/>
  <c r="AZ43" i="5"/>
  <c r="AZ46" i="5"/>
  <c r="AZ49" i="5"/>
  <c r="AZ52" i="5"/>
  <c r="AZ55" i="5"/>
  <c r="AZ58" i="5"/>
  <c r="AZ63" i="5"/>
  <c r="AY22" i="5"/>
  <c r="AY25" i="5"/>
  <c r="AY28" i="5"/>
  <c r="AY31" i="5"/>
  <c r="AY34" i="5"/>
  <c r="AY37" i="5"/>
  <c r="AY40" i="5"/>
  <c r="AY43" i="5"/>
  <c r="AY46" i="5"/>
  <c r="AY49" i="5"/>
  <c r="AY52" i="5"/>
  <c r="AY55" i="5"/>
  <c r="AY58" i="5"/>
  <c r="AY63" i="5"/>
  <c r="AX22" i="5"/>
  <c r="AX25" i="5"/>
  <c r="AX28" i="5"/>
  <c r="AX31" i="5"/>
  <c r="AX34" i="5"/>
  <c r="AX37" i="5"/>
  <c r="AX40" i="5"/>
  <c r="AX43" i="5"/>
  <c r="AX46" i="5"/>
  <c r="AX49" i="5"/>
  <c r="AX52" i="5"/>
  <c r="AX55" i="5"/>
  <c r="AX58" i="5"/>
  <c r="AX63" i="5"/>
  <c r="AW22" i="5"/>
  <c r="AW25" i="5"/>
  <c r="AW28" i="5"/>
  <c r="AW31" i="5"/>
  <c r="AW34" i="5"/>
  <c r="AW37" i="5"/>
  <c r="AW40" i="5"/>
  <c r="AW43" i="5"/>
  <c r="AW46" i="5"/>
  <c r="AW49" i="5"/>
  <c r="AW52" i="5"/>
  <c r="AW55" i="5"/>
  <c r="AW58" i="5"/>
  <c r="AW63" i="5"/>
  <c r="AV22" i="5"/>
  <c r="AV25" i="5"/>
  <c r="AV65" i="5" s="1"/>
  <c r="AV28" i="5"/>
  <c r="AV31" i="5"/>
  <c r="AV34" i="5"/>
  <c r="AV37" i="5"/>
  <c r="AV40" i="5"/>
  <c r="AV43" i="5"/>
  <c r="AV46" i="5"/>
  <c r="AV49" i="5"/>
  <c r="AV52" i="5"/>
  <c r="AV55" i="5"/>
  <c r="AV58" i="5"/>
  <c r="AV63" i="5"/>
  <c r="AU22" i="5"/>
  <c r="AU25" i="5"/>
  <c r="AU28" i="5"/>
  <c r="AU65" i="5" s="1"/>
  <c r="AU31" i="5"/>
  <c r="AU34" i="5"/>
  <c r="AU37" i="5"/>
  <c r="AU40" i="5"/>
  <c r="AU43" i="5"/>
  <c r="AU46" i="5"/>
  <c r="AU49" i="5"/>
  <c r="AU52" i="5"/>
  <c r="AU55" i="5"/>
  <c r="AU58" i="5"/>
  <c r="AU63" i="5"/>
  <c r="AT22" i="5"/>
  <c r="AT25" i="5"/>
  <c r="AT28" i="5"/>
  <c r="AT31" i="5"/>
  <c r="AT34" i="5"/>
  <c r="AT37" i="5"/>
  <c r="AT40" i="5"/>
  <c r="AT43" i="5"/>
  <c r="AT46" i="5"/>
  <c r="AT49" i="5"/>
  <c r="AT52" i="5"/>
  <c r="AT55" i="5"/>
  <c r="AT58" i="5"/>
  <c r="AT63" i="5"/>
  <c r="AS22" i="5"/>
  <c r="AS28" i="5"/>
  <c r="AS37" i="5"/>
  <c r="AS40" i="5"/>
  <c r="AS43" i="5"/>
  <c r="AS46" i="5"/>
  <c r="AS49" i="5"/>
  <c r="AS52" i="5"/>
  <c r="AS55" i="5"/>
  <c r="AS58" i="5"/>
  <c r="AS63" i="5"/>
  <c r="AR22" i="5"/>
  <c r="AR28" i="5"/>
  <c r="AR31" i="5"/>
  <c r="AR34" i="5"/>
  <c r="AR65" i="5" s="1"/>
  <c r="AR37" i="5"/>
  <c r="AR40" i="5"/>
  <c r="AR43" i="5"/>
  <c r="AR46" i="5"/>
  <c r="AR49" i="5"/>
  <c r="AR52" i="5"/>
  <c r="AR55" i="5"/>
  <c r="AR58" i="5"/>
  <c r="AR63" i="5"/>
  <c r="AQ22" i="5"/>
  <c r="AQ25" i="5"/>
  <c r="AQ28" i="5"/>
  <c r="AQ31" i="5"/>
  <c r="AQ34" i="5"/>
  <c r="AQ37" i="5"/>
  <c r="AQ40" i="5"/>
  <c r="AQ43" i="5"/>
  <c r="AQ46" i="5"/>
  <c r="AQ49" i="5"/>
  <c r="AQ52" i="5"/>
  <c r="AQ55" i="5"/>
  <c r="AQ58" i="5"/>
  <c r="AQ63" i="5"/>
  <c r="AP22" i="5"/>
  <c r="AP28" i="5"/>
  <c r="AP31" i="5"/>
  <c r="AP34" i="5"/>
  <c r="AP37" i="5"/>
  <c r="AP40" i="5"/>
  <c r="AP43" i="5"/>
  <c r="AP46" i="5"/>
  <c r="AP49" i="5"/>
  <c r="AP52" i="5"/>
  <c r="AP55" i="5"/>
  <c r="AP58" i="5"/>
  <c r="AP63" i="5"/>
  <c r="AO22" i="5"/>
  <c r="AO25" i="5"/>
  <c r="AO28" i="5"/>
  <c r="AO31" i="5"/>
  <c r="AO34" i="5"/>
  <c r="AO37" i="5"/>
  <c r="AO40" i="5"/>
  <c r="AO43" i="5"/>
  <c r="AO46" i="5"/>
  <c r="AO49" i="5"/>
  <c r="AO52" i="5"/>
  <c r="AO55" i="5"/>
  <c r="AO58" i="5"/>
  <c r="AO63" i="5"/>
  <c r="AN22" i="5"/>
  <c r="AN65" i="5" s="1"/>
  <c r="AN25" i="5"/>
  <c r="AN28" i="5"/>
  <c r="AN37" i="5"/>
  <c r="AN40" i="5"/>
  <c r="AN43" i="5"/>
  <c r="AN46" i="5"/>
  <c r="AN49" i="5"/>
  <c r="AN52" i="5"/>
  <c r="AN55" i="5"/>
  <c r="AN58" i="5"/>
  <c r="AN63" i="5"/>
  <c r="AM22" i="5"/>
  <c r="AM65" i="5" s="1"/>
  <c r="AM25" i="5"/>
  <c r="AM28" i="5"/>
  <c r="AM31" i="5"/>
  <c r="AM34" i="5"/>
  <c r="AM37" i="5"/>
  <c r="AM40" i="5"/>
  <c r="AM43" i="5"/>
  <c r="AM46" i="5"/>
  <c r="AM49" i="5"/>
  <c r="AM52" i="5"/>
  <c r="AM55" i="5"/>
  <c r="AM58" i="5"/>
  <c r="AM63" i="5"/>
  <c r="AL22" i="5"/>
  <c r="AL25" i="5"/>
  <c r="AL28" i="5"/>
  <c r="AL31" i="5"/>
  <c r="AL34" i="5"/>
  <c r="AL37" i="5"/>
  <c r="AL40" i="5"/>
  <c r="AL43" i="5"/>
  <c r="AL46" i="5"/>
  <c r="AL49" i="5"/>
  <c r="AL52" i="5"/>
  <c r="AL55" i="5"/>
  <c r="AL58" i="5"/>
  <c r="AL63" i="5"/>
  <c r="AK22" i="5"/>
  <c r="AK28" i="5"/>
  <c r="AK31" i="5"/>
  <c r="AK34" i="5"/>
  <c r="AK37" i="5"/>
  <c r="AK40" i="5"/>
  <c r="AK43" i="5"/>
  <c r="AK46" i="5"/>
  <c r="AK49" i="5"/>
  <c r="AK52" i="5"/>
  <c r="AK55" i="5"/>
  <c r="AK58" i="5"/>
  <c r="AK63" i="5"/>
  <c r="AJ22" i="5"/>
  <c r="AJ28" i="5"/>
  <c r="AJ31" i="5"/>
  <c r="AJ65" i="5" s="1"/>
  <c r="AJ34" i="5"/>
  <c r="AJ37" i="5"/>
  <c r="AJ40" i="5"/>
  <c r="AJ43" i="5"/>
  <c r="AJ46" i="5"/>
  <c r="AJ49" i="5"/>
  <c r="AJ52" i="5"/>
  <c r="AJ55" i="5"/>
  <c r="AJ58" i="5"/>
  <c r="AJ63" i="5"/>
  <c r="AI22" i="5"/>
  <c r="AI28" i="5"/>
  <c r="AI31" i="5"/>
  <c r="AI34" i="5"/>
  <c r="AI37" i="5"/>
  <c r="AI40" i="5"/>
  <c r="AI43" i="5"/>
  <c r="AI46" i="5"/>
  <c r="AI49" i="5"/>
  <c r="AI52" i="5"/>
  <c r="AI55" i="5"/>
  <c r="AI58" i="5"/>
  <c r="AI63" i="5"/>
  <c r="AH22" i="5"/>
  <c r="AH65" i="5" s="1"/>
  <c r="AH25" i="5"/>
  <c r="AH28" i="5"/>
  <c r="AH31" i="5"/>
  <c r="AH34" i="5"/>
  <c r="AH37" i="5"/>
  <c r="AH40" i="5"/>
  <c r="AH43" i="5"/>
  <c r="AH46" i="5"/>
  <c r="AH49" i="5"/>
  <c r="AH52" i="5"/>
  <c r="AH55" i="5"/>
  <c r="AH58" i="5"/>
  <c r="AH63" i="5"/>
  <c r="AG22" i="5"/>
  <c r="AG25" i="5"/>
  <c r="AG28" i="5"/>
  <c r="AG31" i="5"/>
  <c r="AG34" i="5"/>
  <c r="AG37" i="5"/>
  <c r="AG40" i="5"/>
  <c r="AG43" i="5"/>
  <c r="AG46" i="5"/>
  <c r="AG49" i="5"/>
  <c r="AG52" i="5"/>
  <c r="AG55" i="5"/>
  <c r="AG58" i="5"/>
  <c r="AG63" i="5"/>
  <c r="AF22" i="5"/>
  <c r="AF25" i="5"/>
  <c r="AF28" i="5"/>
  <c r="AF31" i="5"/>
  <c r="AF34" i="5"/>
  <c r="AF37" i="5"/>
  <c r="AF40" i="5"/>
  <c r="AF43" i="5"/>
  <c r="AF46" i="5"/>
  <c r="AF49" i="5"/>
  <c r="AF52" i="5"/>
  <c r="AF55" i="5"/>
  <c r="AF58" i="5"/>
  <c r="AF63" i="5"/>
  <c r="AE22" i="5"/>
  <c r="AE25" i="5"/>
  <c r="AE65" i="5" s="1"/>
  <c r="AE28" i="5"/>
  <c r="AE31" i="5"/>
  <c r="AE34" i="5"/>
  <c r="AE37" i="5"/>
  <c r="AE40" i="5"/>
  <c r="AE43" i="5"/>
  <c r="AE46" i="5"/>
  <c r="AE49" i="5"/>
  <c r="AE52" i="5"/>
  <c r="AE55" i="5"/>
  <c r="AE58" i="5"/>
  <c r="AE63" i="5"/>
  <c r="AD22" i="5"/>
  <c r="AD25" i="5"/>
  <c r="AD28" i="5"/>
  <c r="AD31" i="5"/>
  <c r="AD34" i="5"/>
  <c r="AD37" i="5"/>
  <c r="AD40" i="5"/>
  <c r="AD43" i="5"/>
  <c r="AD46" i="5"/>
  <c r="AD49" i="5"/>
  <c r="AD52" i="5"/>
  <c r="AD55" i="5"/>
  <c r="AD58" i="5"/>
  <c r="AD63" i="5"/>
  <c r="BE60" i="5"/>
  <c r="BD60" i="5"/>
  <c r="BC60" i="5"/>
  <c r="BB60" i="5"/>
  <c r="BA60" i="5"/>
  <c r="AZ60" i="5"/>
  <c r="AY60" i="5"/>
  <c r="AX60" i="5"/>
  <c r="AW60" i="5"/>
  <c r="AV60" i="5"/>
  <c r="AU60" i="5"/>
  <c r="AT60" i="5"/>
  <c r="AS60" i="5"/>
  <c r="AR60" i="5"/>
  <c r="AQ60" i="5"/>
  <c r="AP60" i="5"/>
  <c r="AO60" i="5"/>
  <c r="AN60" i="5"/>
  <c r="AM60" i="5"/>
  <c r="AL60" i="5"/>
  <c r="AK60" i="5"/>
  <c r="AJ60" i="5"/>
  <c r="AI60" i="5"/>
  <c r="AH60" i="5"/>
  <c r="AG60" i="5"/>
  <c r="AF60" i="5"/>
  <c r="AE60" i="5"/>
  <c r="AD60" i="5"/>
  <c r="BE14" i="5"/>
  <c r="BD14" i="5"/>
  <c r="BC14" i="5"/>
  <c r="BB14" i="5"/>
  <c r="BA14" i="5"/>
  <c r="AZ14" i="5"/>
  <c r="AY14" i="5"/>
  <c r="AX14" i="5"/>
  <c r="AW14" i="5"/>
  <c r="AV14" i="5"/>
  <c r="AU14" i="5"/>
  <c r="AT14" i="5"/>
  <c r="AS14" i="5"/>
  <c r="AR14" i="5"/>
  <c r="AQ14" i="5"/>
  <c r="AP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AB22" i="5"/>
  <c r="AB28" i="5"/>
  <c r="AB31" i="5"/>
  <c r="AB34" i="5"/>
  <c r="AB37" i="5"/>
  <c r="AB40" i="5"/>
  <c r="AB43" i="5"/>
  <c r="AB46" i="5"/>
  <c r="AB49" i="5"/>
  <c r="AB52" i="5"/>
  <c r="AB55" i="5"/>
  <c r="AB58" i="5"/>
  <c r="AB63" i="5"/>
  <c r="AA22" i="5"/>
  <c r="AA25" i="5"/>
  <c r="AA28" i="5"/>
  <c r="AA31" i="5"/>
  <c r="AA34" i="5"/>
  <c r="AA37" i="5"/>
  <c r="AA40" i="5"/>
  <c r="AA43" i="5"/>
  <c r="AA46" i="5"/>
  <c r="AA49" i="5"/>
  <c r="AA52" i="5"/>
  <c r="AA55" i="5"/>
  <c r="AA58" i="5"/>
  <c r="AA63" i="5"/>
  <c r="Z22" i="5"/>
  <c r="Z65" i="5" s="1"/>
  <c r="Z25" i="5"/>
  <c r="Z28" i="5"/>
  <c r="Z31" i="5"/>
  <c r="Z34" i="5"/>
  <c r="Z37" i="5"/>
  <c r="Z40" i="5"/>
  <c r="Z43" i="5"/>
  <c r="Z46" i="5"/>
  <c r="Z49" i="5"/>
  <c r="Z52" i="5"/>
  <c r="Z55" i="5"/>
  <c r="Z58" i="5"/>
  <c r="Z63" i="5"/>
  <c r="Y22" i="5"/>
  <c r="Y25" i="5"/>
  <c r="Y28" i="5"/>
  <c r="Y31" i="5"/>
  <c r="Y34" i="5"/>
  <c r="Y37" i="5"/>
  <c r="Y40" i="5"/>
  <c r="Y43" i="5"/>
  <c r="Y46" i="5"/>
  <c r="Y49" i="5"/>
  <c r="Y52" i="5"/>
  <c r="Y55" i="5"/>
  <c r="Y58" i="5"/>
  <c r="Y63" i="5"/>
  <c r="X22" i="5"/>
  <c r="X65" i="5" s="1"/>
  <c r="X25" i="5"/>
  <c r="X28" i="5"/>
  <c r="X31" i="5"/>
  <c r="X34" i="5"/>
  <c r="X37" i="5"/>
  <c r="X40" i="5"/>
  <c r="X43" i="5"/>
  <c r="X46" i="5"/>
  <c r="X49" i="5"/>
  <c r="X52" i="5"/>
  <c r="X55" i="5"/>
  <c r="X58" i="5"/>
  <c r="X63" i="5"/>
  <c r="W22" i="5"/>
  <c r="W28" i="5"/>
  <c r="W31" i="5"/>
  <c r="W34" i="5"/>
  <c r="W37" i="5"/>
  <c r="W40" i="5"/>
  <c r="W43" i="5"/>
  <c r="W46" i="5"/>
  <c r="W49" i="5"/>
  <c r="W52" i="5"/>
  <c r="W55" i="5"/>
  <c r="W58" i="5"/>
  <c r="W63" i="5"/>
  <c r="V22" i="5"/>
  <c r="V65" i="5" s="1"/>
  <c r="V25" i="5"/>
  <c r="V28" i="5"/>
  <c r="V31" i="5"/>
  <c r="V37" i="5"/>
  <c r="V40" i="5"/>
  <c r="V43" i="5"/>
  <c r="V46" i="5"/>
  <c r="V49" i="5"/>
  <c r="V52" i="5"/>
  <c r="V55" i="5"/>
  <c r="V58" i="5"/>
  <c r="V63" i="5"/>
  <c r="U22" i="5"/>
  <c r="U25" i="5"/>
  <c r="U28" i="5"/>
  <c r="U31" i="5"/>
  <c r="U34" i="5"/>
  <c r="U37" i="5"/>
  <c r="U40" i="5"/>
  <c r="U43" i="5"/>
  <c r="U46" i="5"/>
  <c r="U49" i="5"/>
  <c r="U52" i="5"/>
  <c r="U55" i="5"/>
  <c r="U58" i="5"/>
  <c r="U63" i="5"/>
  <c r="T22" i="5"/>
  <c r="T25" i="5"/>
  <c r="T28" i="5"/>
  <c r="T31" i="5"/>
  <c r="T34" i="5"/>
  <c r="T37" i="5"/>
  <c r="T40" i="5"/>
  <c r="T43" i="5"/>
  <c r="T46" i="5"/>
  <c r="T49" i="5"/>
  <c r="T52" i="5"/>
  <c r="T55" i="5"/>
  <c r="T58" i="5"/>
  <c r="T63" i="5"/>
  <c r="S22" i="5"/>
  <c r="S25" i="5"/>
  <c r="S28" i="5"/>
  <c r="S31" i="5"/>
  <c r="S34" i="5"/>
  <c r="S37" i="5"/>
  <c r="S40" i="5"/>
  <c r="S43" i="5"/>
  <c r="S46" i="5"/>
  <c r="S49" i="5"/>
  <c r="S52" i="5"/>
  <c r="S55" i="5"/>
  <c r="S58" i="5"/>
  <c r="S63" i="5"/>
  <c r="R22" i="5"/>
  <c r="R25" i="5"/>
  <c r="R65" i="5" s="1"/>
  <c r="R28" i="5"/>
  <c r="R31" i="5"/>
  <c r="R34" i="5"/>
  <c r="R37" i="5"/>
  <c r="R40" i="5"/>
  <c r="R43" i="5"/>
  <c r="R46" i="5"/>
  <c r="R49" i="5"/>
  <c r="R52" i="5"/>
  <c r="R55" i="5"/>
  <c r="R58" i="5"/>
  <c r="R63" i="5"/>
  <c r="Q22" i="5"/>
  <c r="Q25" i="5"/>
  <c r="Q28" i="5"/>
  <c r="Q65" i="5" s="1"/>
  <c r="Q31" i="5"/>
  <c r="Q34" i="5"/>
  <c r="Q37" i="5"/>
  <c r="Q40" i="5"/>
  <c r="Q43" i="5"/>
  <c r="Q46" i="5"/>
  <c r="Q49" i="5"/>
  <c r="Q52" i="5"/>
  <c r="Q55" i="5"/>
  <c r="Q58" i="5"/>
  <c r="Q63" i="5"/>
  <c r="P22" i="5"/>
  <c r="P25" i="5"/>
  <c r="P28" i="5"/>
  <c r="P31" i="5"/>
  <c r="P34" i="5"/>
  <c r="P37" i="5"/>
  <c r="P40" i="5"/>
  <c r="P43" i="5"/>
  <c r="P46" i="5"/>
  <c r="P49" i="5"/>
  <c r="P52" i="5"/>
  <c r="P55" i="5"/>
  <c r="P58" i="5"/>
  <c r="P63" i="5"/>
  <c r="O22" i="5"/>
  <c r="O28" i="5"/>
  <c r="O31" i="5"/>
  <c r="O34" i="5"/>
  <c r="O37" i="5"/>
  <c r="O40" i="5"/>
  <c r="O43" i="5"/>
  <c r="O46" i="5"/>
  <c r="O49" i="5"/>
  <c r="O52" i="5"/>
  <c r="O55" i="5"/>
  <c r="O58" i="5"/>
  <c r="O63" i="5"/>
  <c r="N22" i="5"/>
  <c r="N25" i="5"/>
  <c r="N28" i="5"/>
  <c r="N31" i="5"/>
  <c r="N34" i="5"/>
  <c r="N37" i="5"/>
  <c r="N40" i="5"/>
  <c r="N43" i="5"/>
  <c r="N46" i="5"/>
  <c r="N49" i="5"/>
  <c r="N52" i="5"/>
  <c r="N55" i="5"/>
  <c r="N58" i="5"/>
  <c r="N63" i="5"/>
  <c r="M22" i="5"/>
  <c r="M28" i="5"/>
  <c r="M31" i="5"/>
  <c r="M34" i="5"/>
  <c r="M37" i="5"/>
  <c r="M40" i="5"/>
  <c r="M43" i="5"/>
  <c r="M46" i="5"/>
  <c r="M49" i="5"/>
  <c r="M52" i="5"/>
  <c r="M55" i="5"/>
  <c r="M58" i="5"/>
  <c r="M63" i="5"/>
  <c r="L22" i="5"/>
  <c r="L28" i="5"/>
  <c r="L31" i="5"/>
  <c r="L37" i="5"/>
  <c r="L40" i="5"/>
  <c r="L43" i="5"/>
  <c r="L46" i="5"/>
  <c r="L49" i="5"/>
  <c r="L52" i="5"/>
  <c r="L55" i="5"/>
  <c r="L58" i="5"/>
  <c r="L63" i="5"/>
  <c r="K22" i="5"/>
  <c r="K25" i="5"/>
  <c r="K28" i="5"/>
  <c r="K31" i="5"/>
  <c r="K34" i="5"/>
  <c r="K37" i="5"/>
  <c r="K40" i="5"/>
  <c r="K43" i="5"/>
  <c r="K46" i="5"/>
  <c r="K49" i="5"/>
  <c r="K52" i="5"/>
  <c r="K55" i="5"/>
  <c r="K58" i="5"/>
  <c r="K63" i="5"/>
  <c r="J22" i="5"/>
  <c r="J25" i="5"/>
  <c r="J28" i="5"/>
  <c r="J31" i="5"/>
  <c r="J34" i="5"/>
  <c r="J37" i="5"/>
  <c r="J40" i="5"/>
  <c r="J43" i="5"/>
  <c r="J46" i="5"/>
  <c r="J49" i="5"/>
  <c r="J52" i="5"/>
  <c r="J55" i="5"/>
  <c r="J58" i="5"/>
  <c r="J63" i="5"/>
  <c r="I22" i="5"/>
  <c r="I25" i="5"/>
  <c r="I28" i="5"/>
  <c r="I31" i="5"/>
  <c r="I34" i="5"/>
  <c r="I37" i="5"/>
  <c r="I40" i="5"/>
  <c r="I43" i="5"/>
  <c r="I46" i="5"/>
  <c r="I49" i="5"/>
  <c r="I52" i="5"/>
  <c r="I55" i="5"/>
  <c r="I58" i="5"/>
  <c r="I63" i="5"/>
  <c r="H22" i="5"/>
  <c r="H25" i="5"/>
  <c r="H28" i="5"/>
  <c r="H31" i="5"/>
  <c r="H34" i="5"/>
  <c r="H37" i="5"/>
  <c r="H40" i="5"/>
  <c r="H43" i="5"/>
  <c r="H46" i="5"/>
  <c r="H49" i="5"/>
  <c r="H52" i="5"/>
  <c r="H55" i="5"/>
  <c r="H58" i="5"/>
  <c r="H63" i="5"/>
  <c r="G22" i="5"/>
  <c r="G25" i="5"/>
  <c r="G28" i="5"/>
  <c r="G31" i="5"/>
  <c r="G34" i="5"/>
  <c r="G37" i="5"/>
  <c r="G40" i="5"/>
  <c r="G43" i="5"/>
  <c r="G46" i="5"/>
  <c r="G49" i="5"/>
  <c r="G52" i="5"/>
  <c r="G55" i="5"/>
  <c r="G58" i="5"/>
  <c r="G63" i="5"/>
  <c r="F22" i="5"/>
  <c r="F65" i="5" s="1"/>
  <c r="F25" i="5"/>
  <c r="F28" i="5"/>
  <c r="F31" i="5"/>
  <c r="F34" i="5"/>
  <c r="F37" i="5"/>
  <c r="F40" i="5"/>
  <c r="F43" i="5"/>
  <c r="F46" i="5"/>
  <c r="F49" i="5"/>
  <c r="F52" i="5"/>
  <c r="F55" i="5"/>
  <c r="F58" i="5"/>
  <c r="F63" i="5"/>
  <c r="E22" i="5"/>
  <c r="E25" i="5"/>
  <c r="E28" i="5"/>
  <c r="E31" i="5"/>
  <c r="E34" i="5"/>
  <c r="E37" i="5"/>
  <c r="E40" i="5"/>
  <c r="E43" i="5"/>
  <c r="E46" i="5"/>
  <c r="E49" i="5"/>
  <c r="E52" i="5"/>
  <c r="E55" i="5"/>
  <c r="E58" i="5"/>
  <c r="E63" i="5"/>
  <c r="D22" i="5"/>
  <c r="D25" i="5"/>
  <c r="D28" i="5"/>
  <c r="D31" i="5"/>
  <c r="D34" i="5"/>
  <c r="D37" i="5"/>
  <c r="D40" i="5"/>
  <c r="D43" i="5"/>
  <c r="D46" i="5"/>
  <c r="D49" i="5"/>
  <c r="D52" i="5"/>
  <c r="D55" i="5"/>
  <c r="D58" i="5"/>
  <c r="D63" i="5"/>
  <c r="C22" i="5"/>
  <c r="C25" i="5"/>
  <c r="C65" i="5" s="1"/>
  <c r="C28" i="5"/>
  <c r="C31" i="5"/>
  <c r="C34" i="5"/>
  <c r="C37" i="5"/>
  <c r="C40" i="5"/>
  <c r="C43" i="5"/>
  <c r="C46" i="5"/>
  <c r="C49" i="5"/>
  <c r="C52" i="5"/>
  <c r="C55" i="5"/>
  <c r="C58" i="5"/>
  <c r="C63" i="5"/>
  <c r="AB60" i="5"/>
  <c r="AA60" i="5"/>
  <c r="Z60" i="5"/>
  <c r="Y60" i="5"/>
  <c r="X60" i="5"/>
  <c r="W60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D60" i="5"/>
  <c r="C60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C66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C60" i="1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V60" i="2"/>
  <c r="W60" i="2"/>
  <c r="X60" i="2"/>
  <c r="Y60" i="2"/>
  <c r="Z60" i="2"/>
  <c r="AA60" i="2"/>
  <c r="AB60" i="2"/>
  <c r="AC60" i="2"/>
  <c r="AD60" i="2"/>
  <c r="U60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C66" i="2"/>
  <c r="AD25" i="2"/>
  <c r="AD28" i="2"/>
  <c r="AD31" i="2"/>
  <c r="AD34" i="2"/>
  <c r="AD37" i="2"/>
  <c r="AD40" i="2"/>
  <c r="AD43" i="2"/>
  <c r="AD46" i="2"/>
  <c r="AC46" i="2"/>
  <c r="AC49" i="2"/>
  <c r="AC52" i="2"/>
  <c r="C55" i="2"/>
  <c r="C58" i="2"/>
  <c r="C31" i="2"/>
  <c r="C34" i="2"/>
  <c r="C37" i="2"/>
  <c r="C40" i="2"/>
  <c r="C43" i="2"/>
  <c r="C46" i="2"/>
  <c r="C25" i="2"/>
  <c r="X52" i="1"/>
  <c r="X55" i="1"/>
  <c r="X58" i="1"/>
  <c r="X63" i="1"/>
  <c r="V25" i="1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C63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D52" i="2"/>
  <c r="C52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D49" i="2"/>
  <c r="C49" i="2"/>
  <c r="D46" i="2"/>
  <c r="E46" i="2"/>
  <c r="F46" i="2"/>
  <c r="G46" i="2"/>
  <c r="H46" i="2"/>
  <c r="I46" i="2"/>
  <c r="J46" i="2"/>
  <c r="J65" i="2" s="1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D34" i="2"/>
  <c r="E34" i="2"/>
  <c r="F34" i="2"/>
  <c r="G34" i="2"/>
  <c r="H34" i="2"/>
  <c r="I34" i="2"/>
  <c r="J34" i="2"/>
  <c r="K34" i="2"/>
  <c r="L34" i="2"/>
  <c r="N34" i="2"/>
  <c r="O34" i="2"/>
  <c r="P34" i="2"/>
  <c r="Q34" i="2"/>
  <c r="S34" i="2"/>
  <c r="T34" i="2"/>
  <c r="U34" i="2"/>
  <c r="V34" i="2"/>
  <c r="W34" i="2"/>
  <c r="X34" i="2"/>
  <c r="Y34" i="2"/>
  <c r="Z34" i="2"/>
  <c r="AA34" i="2"/>
  <c r="AB34" i="2"/>
  <c r="D31" i="2"/>
  <c r="E31" i="2"/>
  <c r="F31" i="2"/>
  <c r="G31" i="2"/>
  <c r="H31" i="2"/>
  <c r="I31" i="2"/>
  <c r="J31" i="2"/>
  <c r="K31" i="2"/>
  <c r="L31" i="2"/>
  <c r="N31" i="2"/>
  <c r="O31" i="2"/>
  <c r="P31" i="2"/>
  <c r="Q31" i="2"/>
  <c r="S31" i="2"/>
  <c r="T31" i="2"/>
  <c r="U31" i="2"/>
  <c r="V31" i="2"/>
  <c r="W31" i="2"/>
  <c r="X31" i="2"/>
  <c r="Y31" i="2"/>
  <c r="Z31" i="2"/>
  <c r="Z65" i="2" s="1"/>
  <c r="AA31" i="2"/>
  <c r="AB31" i="2"/>
  <c r="AC31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C28" i="2"/>
  <c r="D25" i="2"/>
  <c r="E25" i="2"/>
  <c r="F25" i="2"/>
  <c r="G25" i="2"/>
  <c r="K25" i="2"/>
  <c r="L25" i="2"/>
  <c r="M25" i="2"/>
  <c r="N25" i="2"/>
  <c r="P25" i="2"/>
  <c r="S25" i="2"/>
  <c r="T25" i="2"/>
  <c r="U25" i="2"/>
  <c r="V25" i="2"/>
  <c r="W25" i="2"/>
  <c r="X25" i="2"/>
  <c r="Y25" i="2"/>
  <c r="AA25" i="2"/>
  <c r="AB25" i="2"/>
  <c r="AC25" i="2"/>
  <c r="D22" i="2"/>
  <c r="E22" i="2"/>
  <c r="F22" i="2"/>
  <c r="F65" i="2" s="1"/>
  <c r="G22" i="2"/>
  <c r="H22" i="2"/>
  <c r="I22" i="2"/>
  <c r="I65" i="2" s="1"/>
  <c r="J22" i="2"/>
  <c r="K22" i="2"/>
  <c r="L22" i="2"/>
  <c r="L65" i="2" s="1"/>
  <c r="M22" i="2"/>
  <c r="N22" i="2"/>
  <c r="N65" i="2" s="1"/>
  <c r="O22" i="2"/>
  <c r="O65" i="2" s="1"/>
  <c r="P22" i="2"/>
  <c r="Q22" i="2"/>
  <c r="R22" i="2"/>
  <c r="R65" i="2"/>
  <c r="S22" i="2"/>
  <c r="T22" i="2"/>
  <c r="U22" i="2"/>
  <c r="V22" i="2"/>
  <c r="V65" i="2" s="1"/>
  <c r="W22" i="2"/>
  <c r="X22" i="2"/>
  <c r="Y22" i="2"/>
  <c r="Y65" i="2" s="1"/>
  <c r="Z22" i="2"/>
  <c r="AA22" i="2"/>
  <c r="AB22" i="2"/>
  <c r="AB65" i="2" s="1"/>
  <c r="AC22" i="2"/>
  <c r="AD22" i="2"/>
  <c r="AD65" i="2" s="1"/>
  <c r="C22" i="2"/>
  <c r="C65" i="2" s="1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C14" i="2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C14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Y63" i="1"/>
  <c r="Z63" i="1"/>
  <c r="AA63" i="1"/>
  <c r="AB63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Y58" i="1"/>
  <c r="Z58" i="1"/>
  <c r="AA58" i="1"/>
  <c r="AB58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Y55" i="1"/>
  <c r="Z55" i="1"/>
  <c r="AA55" i="1"/>
  <c r="AB55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Y52" i="1"/>
  <c r="Z52" i="1"/>
  <c r="AA52" i="1"/>
  <c r="AB52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D40" i="1"/>
  <c r="E40" i="1"/>
  <c r="F40" i="1"/>
  <c r="G40" i="1"/>
  <c r="H40" i="1"/>
  <c r="I40" i="1"/>
  <c r="J40" i="1"/>
  <c r="J65" i="1" s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C63" i="1"/>
  <c r="C58" i="1"/>
  <c r="C55" i="1"/>
  <c r="C52" i="1"/>
  <c r="C49" i="1"/>
  <c r="C46" i="1"/>
  <c r="C43" i="1"/>
  <c r="C40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D34" i="1"/>
  <c r="E34" i="1"/>
  <c r="F34" i="1"/>
  <c r="G34" i="1"/>
  <c r="H34" i="1"/>
  <c r="I34" i="1"/>
  <c r="J34" i="1"/>
  <c r="K34" i="1"/>
  <c r="M34" i="1"/>
  <c r="N34" i="1"/>
  <c r="O34" i="1"/>
  <c r="P34" i="1"/>
  <c r="Q34" i="1"/>
  <c r="R34" i="1"/>
  <c r="S34" i="1"/>
  <c r="T34" i="1"/>
  <c r="U34" i="1"/>
  <c r="W34" i="1"/>
  <c r="X34" i="1"/>
  <c r="Y34" i="1"/>
  <c r="Z34" i="1"/>
  <c r="AA34" i="1"/>
  <c r="AB34" i="1"/>
  <c r="C34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C31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C28" i="1"/>
  <c r="D25" i="1"/>
  <c r="E25" i="1"/>
  <c r="F25" i="1"/>
  <c r="G25" i="1"/>
  <c r="H25" i="1"/>
  <c r="I25" i="1"/>
  <c r="J25" i="1"/>
  <c r="K25" i="1"/>
  <c r="N25" i="1"/>
  <c r="P25" i="1"/>
  <c r="Q25" i="1"/>
  <c r="R25" i="1"/>
  <c r="R65" i="1" s="1"/>
  <c r="S25" i="1"/>
  <c r="T25" i="1"/>
  <c r="U25" i="1"/>
  <c r="X25" i="1"/>
  <c r="Y25" i="1"/>
  <c r="Z25" i="1"/>
  <c r="AA25" i="1"/>
  <c r="C25" i="1"/>
  <c r="J22" i="1"/>
  <c r="U22" i="1"/>
  <c r="C22" i="1"/>
  <c r="C65" i="1" s="1"/>
  <c r="D22" i="1"/>
  <c r="E22" i="1"/>
  <c r="E65" i="1" s="1"/>
  <c r="F22" i="1"/>
  <c r="F65" i="1" s="1"/>
  <c r="G22" i="1"/>
  <c r="H22" i="1"/>
  <c r="I22" i="1"/>
  <c r="I65" i="1"/>
  <c r="K22" i="1"/>
  <c r="L22" i="1"/>
  <c r="M22" i="1"/>
  <c r="N22" i="1"/>
  <c r="N65" i="1" s="1"/>
  <c r="O22" i="1"/>
  <c r="P22" i="1"/>
  <c r="Q22" i="1"/>
  <c r="Q65" i="1" s="1"/>
  <c r="R22" i="1"/>
  <c r="S22" i="1"/>
  <c r="T22" i="1"/>
  <c r="T65" i="1" s="1"/>
  <c r="V22" i="1"/>
  <c r="W22" i="1"/>
  <c r="W65" i="1" s="1"/>
  <c r="X22" i="1"/>
  <c r="X65" i="1" s="1"/>
  <c r="Y22" i="1"/>
  <c r="Z22" i="1"/>
  <c r="AA22" i="1"/>
  <c r="AA65" i="1"/>
  <c r="AB22" i="1"/>
  <c r="BJ49" i="9" l="1"/>
  <c r="P65" i="5"/>
  <c r="AT65" i="5"/>
  <c r="Z65" i="1"/>
  <c r="L65" i="1"/>
  <c r="W65" i="2"/>
  <c r="T65" i="2"/>
  <c r="Q65" i="2"/>
  <c r="G65" i="2"/>
  <c r="D65" i="2"/>
  <c r="G65" i="5"/>
  <c r="I65" i="5"/>
  <c r="M65" i="5"/>
  <c r="O65" i="5"/>
  <c r="Y65" i="5"/>
  <c r="AA65" i="5"/>
  <c r="AD65" i="5"/>
  <c r="AS65" i="5"/>
  <c r="BA65" i="5"/>
  <c r="BB65" i="5"/>
  <c r="BE65" i="5"/>
  <c r="AG65" i="1"/>
  <c r="AF65" i="1"/>
  <c r="AC65" i="1"/>
  <c r="BF65" i="5"/>
  <c r="C61" i="8"/>
  <c r="D61" i="8"/>
  <c r="L61" i="8"/>
  <c r="N61" i="8"/>
  <c r="R61" i="8"/>
  <c r="S61" i="8"/>
  <c r="W61" i="8"/>
  <c r="AB61" i="8"/>
  <c r="AF61" i="8"/>
  <c r="AJ61" i="8"/>
  <c r="AL61" i="8"/>
  <c r="AO61" i="8"/>
  <c r="AU61" i="8"/>
  <c r="AW61" i="8"/>
  <c r="AX61" i="8"/>
  <c r="BJ13" i="9"/>
  <c r="BJ26" i="9"/>
  <c r="BJ7" i="9"/>
  <c r="BJ10" i="9"/>
  <c r="BJ11" i="9"/>
  <c r="BJ21" i="9"/>
  <c r="BJ52" i="9"/>
  <c r="BJ67" i="9"/>
  <c r="BJ34" i="9"/>
  <c r="BJ46" i="9"/>
  <c r="BJ48" i="9"/>
  <c r="AP65" i="2"/>
  <c r="BH61" i="8"/>
  <c r="BI61" i="8"/>
  <c r="BL61" i="8"/>
  <c r="BM61" i="8"/>
  <c r="BQ61" i="8"/>
  <c r="BJ54" i="9"/>
  <c r="BJ58" i="9"/>
  <c r="H65" i="5"/>
  <c r="O65" i="1"/>
  <c r="H65" i="1"/>
  <c r="AB65" i="1"/>
  <c r="Y65" i="1"/>
  <c r="V65" i="1"/>
  <c r="K65" i="1"/>
  <c r="G65" i="1"/>
  <c r="D65" i="1"/>
  <c r="AC65" i="2"/>
  <c r="S65" i="2"/>
  <c r="P65" i="2"/>
  <c r="M65" i="2"/>
  <c r="D65" i="5"/>
  <c r="E65" i="5"/>
  <c r="J65" i="5"/>
  <c r="S65" i="5"/>
  <c r="U65" i="5"/>
  <c r="AB65" i="5"/>
  <c r="AF65" i="5"/>
  <c r="AG65" i="5"/>
  <c r="AK65" i="5"/>
  <c r="AL65" i="5"/>
  <c r="AP65" i="5"/>
  <c r="AQ65" i="5"/>
  <c r="AW65" i="5"/>
  <c r="AY65" i="5"/>
  <c r="AD65" i="1"/>
  <c r="AE65" i="2"/>
  <c r="I61" i="8"/>
  <c r="Q61" i="8"/>
  <c r="V61" i="8"/>
  <c r="AA61" i="8"/>
  <c r="AG61" i="8"/>
  <c r="BA61" i="8"/>
  <c r="BJ2" i="9"/>
  <c r="BJ25" i="9"/>
  <c r="BJ29" i="9"/>
  <c r="BJ14" i="9"/>
  <c r="BJ15" i="9"/>
  <c r="BJ19" i="9"/>
  <c r="BJ41" i="9"/>
  <c r="BJ66" i="9"/>
  <c r="BJ36" i="9"/>
  <c r="BJ37" i="9"/>
  <c r="BJ42" i="9"/>
  <c r="BJ47" i="9"/>
  <c r="BJ51" i="9"/>
  <c r="AJ65" i="2"/>
  <c r="BJ61" i="9"/>
  <c r="BJ22" i="9"/>
  <c r="AE65" i="1"/>
  <c r="B61" i="8"/>
  <c r="F61" i="8"/>
  <c r="G61" i="8"/>
  <c r="K61" i="8"/>
  <c r="O61" i="8"/>
  <c r="P61" i="8"/>
  <c r="U61" i="8"/>
  <c r="AH61" i="8"/>
  <c r="AI61" i="8"/>
  <c r="AR61" i="8"/>
  <c r="AS61" i="8"/>
  <c r="AV61" i="8"/>
  <c r="AZ61" i="8"/>
  <c r="BB61" i="8"/>
  <c r="BF61" i="8"/>
  <c r="BJ23" i="9"/>
  <c r="BJ24" i="9"/>
  <c r="BJ27" i="9"/>
  <c r="BJ28" i="9"/>
  <c r="BJ3" i="9"/>
  <c r="BJ4" i="9"/>
  <c r="BJ6" i="9"/>
  <c r="BJ9" i="9"/>
  <c r="BJ18" i="9"/>
  <c r="BJ30" i="9"/>
  <c r="BJ63" i="9"/>
  <c r="BJ65" i="9"/>
  <c r="BJ68" i="9"/>
  <c r="BJ31" i="9"/>
  <c r="BJ40" i="9"/>
  <c r="BJ45" i="9"/>
  <c r="BJ50" i="9"/>
  <c r="AI65" i="2"/>
  <c r="AO65" i="2"/>
  <c r="BG61" i="8"/>
  <c r="BK61" i="8"/>
  <c r="BN61" i="8"/>
  <c r="BJ55" i="9"/>
  <c r="BJ57" i="9"/>
  <c r="BJ62" i="9"/>
  <c r="S65" i="1"/>
  <c r="P65" i="1"/>
  <c r="M65" i="1"/>
  <c r="U65" i="1"/>
  <c r="AA65" i="2"/>
  <c r="X65" i="2"/>
  <c r="U65" i="2"/>
  <c r="K65" i="2"/>
  <c r="H65" i="2"/>
  <c r="E65" i="2"/>
  <c r="K65" i="5"/>
  <c r="L65" i="5"/>
  <c r="N65" i="5"/>
  <c r="T65" i="5"/>
  <c r="W65" i="5"/>
  <c r="AI65" i="5"/>
  <c r="AO65" i="5"/>
  <c r="AX65" i="5"/>
  <c r="AC65" i="5"/>
  <c r="AF65" i="2"/>
  <c r="BG65" i="5"/>
  <c r="E61" i="8"/>
  <c r="J61" i="8"/>
  <c r="X61" i="8"/>
  <c r="Y61" i="8"/>
  <c r="AD61" i="8"/>
  <c r="AE61" i="8"/>
  <c r="AK61" i="8"/>
  <c r="AM61" i="8"/>
  <c r="AP61" i="8"/>
  <c r="AQ61" i="8"/>
  <c r="AT61" i="8"/>
  <c r="BC61" i="8"/>
  <c r="BD61" i="8"/>
  <c r="BJ5" i="9"/>
  <c r="BJ8" i="9"/>
  <c r="BJ12" i="9"/>
  <c r="BJ16" i="9"/>
  <c r="BJ17" i="9"/>
  <c r="BJ20" i="9"/>
  <c r="BJ69" i="9"/>
  <c r="BJ35" i="9"/>
  <c r="BJ38" i="9"/>
  <c r="BJ39" i="9"/>
  <c r="BJ43" i="9"/>
  <c r="BJ44" i="9"/>
  <c r="BJ53" i="9"/>
  <c r="AL65" i="2"/>
  <c r="AK65" i="2"/>
  <c r="AN65" i="2"/>
  <c r="BO61" i="8"/>
  <c r="BJ56" i="9"/>
  <c r="BJ59" i="9"/>
  <c r="BJ60" i="9"/>
  <c r="BJ64" i="9"/>
</calcChain>
</file>

<file path=xl/sharedStrings.xml><?xml version="1.0" encoding="utf-8"?>
<sst xmlns="http://schemas.openxmlformats.org/spreadsheetml/2006/main" count="1798" uniqueCount="484">
  <si>
    <t>Age</t>
  </si>
  <si>
    <t>Study mode</t>
  </si>
  <si>
    <t>Student type</t>
  </si>
  <si>
    <t>Gender</t>
  </si>
  <si>
    <t>Level</t>
  </si>
  <si>
    <t>Major</t>
  </si>
  <si>
    <t>TMV before</t>
  </si>
  <si>
    <t>Confidence</t>
  </si>
  <si>
    <t>Pre test</t>
  </si>
  <si>
    <t>Demographics</t>
  </si>
  <si>
    <t>Felder Soloman</t>
  </si>
  <si>
    <t>n</t>
  </si>
  <si>
    <t>i</t>
  </si>
  <si>
    <t>P</t>
  </si>
  <si>
    <t>PV</t>
  </si>
  <si>
    <t>FV</t>
  </si>
  <si>
    <t>Option</t>
  </si>
  <si>
    <t>Defn Compound</t>
  </si>
  <si>
    <t>Converting PV -&gt; FV</t>
  </si>
  <si>
    <t>Converting FV -&gt; PV</t>
  </si>
  <si>
    <t>Correct statement</t>
  </si>
  <si>
    <t>Revisit</t>
  </si>
  <si>
    <t>Extra Q</t>
  </si>
  <si>
    <t>eGameFlow</t>
  </si>
  <si>
    <t>Learning outcomes</t>
  </si>
  <si>
    <t>Jak C</t>
  </si>
  <si>
    <t>ACT/REF</t>
  </si>
  <si>
    <t>3b</t>
  </si>
  <si>
    <t>SEN/INT</t>
  </si>
  <si>
    <t>9a</t>
  </si>
  <si>
    <t>5a</t>
  </si>
  <si>
    <t>1a</t>
  </si>
  <si>
    <t>VIS/VRB</t>
  </si>
  <si>
    <t>SEQ/GLO</t>
  </si>
  <si>
    <t>Ashley C</t>
  </si>
  <si>
    <t>Chris C</t>
  </si>
  <si>
    <t>5b</t>
  </si>
  <si>
    <t>11a</t>
  </si>
  <si>
    <t>7a</t>
  </si>
  <si>
    <t>Amelia G</t>
  </si>
  <si>
    <t>Rod G</t>
  </si>
  <si>
    <t>Nicholas H</t>
  </si>
  <si>
    <t>Iggy J</t>
  </si>
  <si>
    <t>1b</t>
  </si>
  <si>
    <t>3a</t>
  </si>
  <si>
    <t>Max J</t>
  </si>
  <si>
    <t>Nancy K</t>
  </si>
  <si>
    <t>NishadI K</t>
  </si>
  <si>
    <t>Linh L</t>
  </si>
  <si>
    <t>7b</t>
  </si>
  <si>
    <t>Misty L</t>
  </si>
  <si>
    <t>Ellis L</t>
  </si>
  <si>
    <t>Chengye L</t>
  </si>
  <si>
    <t>Janelle M</t>
  </si>
  <si>
    <t>Amir M</t>
  </si>
  <si>
    <t>Colin N</t>
  </si>
  <si>
    <t>Fatima N</t>
  </si>
  <si>
    <t>Jenette O</t>
  </si>
  <si>
    <t>11b</t>
  </si>
  <si>
    <t>Paul S</t>
  </si>
  <si>
    <t>Carolin S</t>
  </si>
  <si>
    <t>Diksha S</t>
  </si>
  <si>
    <t>Diane W</t>
  </si>
  <si>
    <t>Linda W</t>
  </si>
  <si>
    <t>Shuomin Y</t>
  </si>
  <si>
    <t>Yasuhani Y</t>
  </si>
  <si>
    <t>Radhika B</t>
  </si>
  <si>
    <t>Lincoln C</t>
  </si>
  <si>
    <t>Megan D</t>
  </si>
  <si>
    <t>Diann E</t>
  </si>
  <si>
    <t>Daniel F</t>
  </si>
  <si>
    <t>Other</t>
  </si>
  <si>
    <t>Jodie F</t>
  </si>
  <si>
    <t>David F</t>
  </si>
  <si>
    <t>Jinxin H</t>
  </si>
  <si>
    <t>Dave H</t>
  </si>
  <si>
    <t>Law</t>
  </si>
  <si>
    <t>Nick H</t>
  </si>
  <si>
    <t>Honghui H</t>
  </si>
  <si>
    <t>Riley K</t>
  </si>
  <si>
    <t>Xin L</t>
  </si>
  <si>
    <t>Liz M</t>
  </si>
  <si>
    <t>Stara M</t>
  </si>
  <si>
    <t>Mathew M</t>
  </si>
  <si>
    <t>Michaela M</t>
  </si>
  <si>
    <t>Carolyn P</t>
  </si>
  <si>
    <t>Jo-Anne P</t>
  </si>
  <si>
    <t>Neki R</t>
  </si>
  <si>
    <t>Rithwil R</t>
  </si>
  <si>
    <t>Sajal S</t>
  </si>
  <si>
    <t>Arshdeep S</t>
  </si>
  <si>
    <t>Jasmeet S</t>
  </si>
  <si>
    <t>Annabell S</t>
  </si>
  <si>
    <t>Isabelle S</t>
  </si>
  <si>
    <t>Ziheng W</t>
  </si>
  <si>
    <t>Steffan W</t>
  </si>
  <si>
    <t>n_correct</t>
  </si>
  <si>
    <t>i_correct</t>
  </si>
  <si>
    <t>P_correct</t>
  </si>
  <si>
    <t>PV_correct</t>
  </si>
  <si>
    <t>FV_correct</t>
  </si>
  <si>
    <t>option_correct</t>
  </si>
  <si>
    <t>Defn_correct</t>
  </si>
  <si>
    <t>DefnTMV_correct</t>
  </si>
  <si>
    <t>DefnFV_correct</t>
  </si>
  <si>
    <t>FVPVConv_correct</t>
  </si>
  <si>
    <t>PVFVConv_correct</t>
  </si>
  <si>
    <t>Statement_correct</t>
  </si>
  <si>
    <t>Revisit_correct</t>
  </si>
  <si>
    <t>ExtraQ_correct</t>
  </si>
  <si>
    <t>Defn TMV</t>
  </si>
  <si>
    <t>Defn FV</t>
  </si>
  <si>
    <t>Pretest_correct</t>
  </si>
  <si>
    <t>C1</t>
  </si>
  <si>
    <t>C2</t>
  </si>
  <si>
    <t>C3</t>
  </si>
  <si>
    <t>C4</t>
  </si>
  <si>
    <t>C5</t>
  </si>
  <si>
    <t>G1</t>
  </si>
  <si>
    <t>G2</t>
  </si>
  <si>
    <t>G3</t>
  </si>
  <si>
    <t>G4</t>
  </si>
  <si>
    <t>F1</t>
  </si>
  <si>
    <t>F3</t>
  </si>
  <si>
    <t>F2</t>
  </si>
  <si>
    <t>H1</t>
  </si>
  <si>
    <t>H2</t>
  </si>
  <si>
    <t>H3</t>
  </si>
  <si>
    <t>H4</t>
  </si>
  <si>
    <t>H5</t>
  </si>
  <si>
    <t>A1</t>
  </si>
  <si>
    <t>A2</t>
  </si>
  <si>
    <t>A3</t>
  </si>
  <si>
    <t>I1</t>
  </si>
  <si>
    <t>I2</t>
  </si>
  <si>
    <t>I3</t>
  </si>
  <si>
    <t>I4</t>
  </si>
  <si>
    <t>I5</t>
  </si>
  <si>
    <t>K1</t>
  </si>
  <si>
    <t>K2</t>
  </si>
  <si>
    <t>K3</t>
  </si>
  <si>
    <t>K4</t>
  </si>
  <si>
    <t>K5</t>
  </si>
  <si>
    <t>Identifier</t>
  </si>
  <si>
    <t>Pre test time</t>
  </si>
  <si>
    <t>Time n</t>
  </si>
  <si>
    <t>Time i</t>
  </si>
  <si>
    <t>Time P</t>
  </si>
  <si>
    <t>Time PV</t>
  </si>
  <si>
    <t>Time FV</t>
  </si>
  <si>
    <t>Time option</t>
  </si>
  <si>
    <t>Time DefnFV</t>
  </si>
  <si>
    <t>Time DefnTMV</t>
  </si>
  <si>
    <t>Time defn compound</t>
  </si>
  <si>
    <t>Time FVPV convert</t>
  </si>
  <si>
    <t>Time PVFV convert</t>
  </si>
  <si>
    <t>Time correct statement</t>
  </si>
  <si>
    <t>Time revisit</t>
  </si>
  <si>
    <t>Time extra Q</t>
  </si>
  <si>
    <t>Total correct</t>
  </si>
  <si>
    <t>Total time</t>
  </si>
  <si>
    <t>Time difference</t>
  </si>
  <si>
    <t>Q1</t>
  </si>
  <si>
    <t>Q2</t>
  </si>
  <si>
    <t>Q3</t>
  </si>
  <si>
    <t>Q4</t>
  </si>
  <si>
    <t>On campus</t>
  </si>
  <si>
    <t>on line</t>
  </si>
  <si>
    <t>Row</t>
  </si>
  <si>
    <t>Question</t>
  </si>
  <si>
    <t>Choices</t>
  </si>
  <si>
    <t>Code</t>
  </si>
  <si>
    <t>Domestic</t>
  </si>
  <si>
    <t>International</t>
  </si>
  <si>
    <t>Male</t>
  </si>
  <si>
    <t>Female</t>
  </si>
  <si>
    <t>Study level</t>
  </si>
  <si>
    <t>Assoc Degree</t>
  </si>
  <si>
    <t>Bachelors</t>
  </si>
  <si>
    <t>Honors</t>
  </si>
  <si>
    <t>Masters</t>
  </si>
  <si>
    <t>Doctoral</t>
  </si>
  <si>
    <t>Q5</t>
  </si>
  <si>
    <t>Q6</t>
  </si>
  <si>
    <t>Business</t>
  </si>
  <si>
    <t>Accounting</t>
  </si>
  <si>
    <t>Finance</t>
  </si>
  <si>
    <t>Admin/Management</t>
  </si>
  <si>
    <t>Digital Business</t>
  </si>
  <si>
    <t>Q7</t>
  </si>
  <si>
    <t>Studied TMV before?</t>
  </si>
  <si>
    <t>Yes</t>
  </si>
  <si>
    <t>No</t>
  </si>
  <si>
    <t>Go to Q9</t>
  </si>
  <si>
    <t>Q8</t>
  </si>
  <si>
    <t>Confidence level?</t>
  </si>
  <si>
    <t>Amateur</t>
  </si>
  <si>
    <t>Proficient</t>
  </si>
  <si>
    <t>Expert</t>
  </si>
  <si>
    <t>Q9</t>
  </si>
  <si>
    <t>a</t>
  </si>
  <si>
    <t>b</t>
  </si>
  <si>
    <t>c</t>
  </si>
  <si>
    <t>d</t>
  </si>
  <si>
    <t>Correct</t>
  </si>
  <si>
    <t>Q10</t>
  </si>
  <si>
    <t>Q11</t>
  </si>
  <si>
    <t>Pre test correct</t>
  </si>
  <si>
    <t xml:space="preserve">No </t>
  </si>
  <si>
    <t>Q12</t>
  </si>
  <si>
    <t>Q13</t>
  </si>
  <si>
    <t>Q14</t>
  </si>
  <si>
    <t>Q15</t>
  </si>
  <si>
    <t>Q16</t>
  </si>
  <si>
    <r>
      <t xml:space="preserve">Value of 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?</t>
    </r>
  </si>
  <si>
    <t>Q17</t>
  </si>
  <si>
    <t>Q18</t>
  </si>
  <si>
    <r>
      <t xml:space="preserve">Value of </t>
    </r>
    <r>
      <rPr>
        <i/>
        <sz val="11"/>
        <color theme="1"/>
        <rFont val="Calibri"/>
        <family val="2"/>
        <scheme val="minor"/>
      </rPr>
      <t xml:space="preserve">n </t>
    </r>
    <r>
      <rPr>
        <sz val="11"/>
        <color theme="1"/>
        <rFont val="Calibri"/>
        <family val="2"/>
        <scheme val="minor"/>
      </rPr>
      <t>correct</t>
    </r>
  </si>
  <si>
    <r>
      <t xml:space="preserve">Value of </t>
    </r>
    <r>
      <rPr>
        <i/>
        <sz val="11"/>
        <color theme="1"/>
        <rFont val="Calibri"/>
        <family val="2"/>
        <scheme val="minor"/>
      </rPr>
      <t xml:space="preserve">n </t>
    </r>
    <r>
      <rPr>
        <sz val="11"/>
        <color theme="1"/>
        <rFont val="Calibri"/>
        <family val="2"/>
        <scheme val="minor"/>
      </rPr>
      <t>time</t>
    </r>
  </si>
  <si>
    <t>Q19</t>
  </si>
  <si>
    <r>
      <t xml:space="preserve">Value of </t>
    </r>
    <r>
      <rPr>
        <i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?</t>
    </r>
  </si>
  <si>
    <t>Q20</t>
  </si>
  <si>
    <t>Q21</t>
  </si>
  <si>
    <r>
      <t xml:space="preserve">Value of </t>
    </r>
    <r>
      <rPr>
        <i/>
        <sz val="11"/>
        <color theme="1"/>
        <rFont val="Calibri"/>
        <family val="2"/>
        <scheme val="minor"/>
      </rPr>
      <t xml:space="preserve">i </t>
    </r>
    <r>
      <rPr>
        <sz val="11"/>
        <color theme="1"/>
        <rFont val="Calibri"/>
        <family val="2"/>
        <scheme val="minor"/>
      </rPr>
      <t>correct</t>
    </r>
  </si>
  <si>
    <r>
      <t xml:space="preserve">Value of </t>
    </r>
    <r>
      <rPr>
        <i/>
        <sz val="11"/>
        <color theme="1"/>
        <rFont val="Calibri"/>
        <family val="2"/>
        <scheme val="minor"/>
      </rPr>
      <t xml:space="preserve">i </t>
    </r>
    <r>
      <rPr>
        <sz val="11"/>
        <color theme="1"/>
        <rFont val="Calibri"/>
        <family val="2"/>
        <scheme val="minor"/>
      </rPr>
      <t>time</t>
    </r>
  </si>
  <si>
    <t>Q22</t>
  </si>
  <si>
    <r>
      <t xml:space="preserve">Value of </t>
    </r>
    <r>
      <rPr>
        <i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?</t>
    </r>
  </si>
  <si>
    <r>
      <t xml:space="preserve">Value of </t>
    </r>
    <r>
      <rPr>
        <i/>
        <sz val="11"/>
        <color theme="1"/>
        <rFont val="Calibri"/>
        <family val="2"/>
        <scheme val="minor"/>
      </rPr>
      <t xml:space="preserve">P </t>
    </r>
    <r>
      <rPr>
        <sz val="11"/>
        <color theme="1"/>
        <rFont val="Calibri"/>
        <family val="2"/>
        <scheme val="minor"/>
      </rPr>
      <t>correct</t>
    </r>
  </si>
  <si>
    <r>
      <t xml:space="preserve">Value of </t>
    </r>
    <r>
      <rPr>
        <i/>
        <sz val="11"/>
        <color theme="1"/>
        <rFont val="Calibri"/>
        <family val="2"/>
        <scheme val="minor"/>
      </rPr>
      <t xml:space="preserve">P </t>
    </r>
    <r>
      <rPr>
        <sz val="11"/>
        <color theme="1"/>
        <rFont val="Calibri"/>
        <family val="2"/>
        <scheme val="minor"/>
      </rPr>
      <t>time</t>
    </r>
  </si>
  <si>
    <t>Q23</t>
  </si>
  <si>
    <t>Q24</t>
  </si>
  <si>
    <t>Q25</t>
  </si>
  <si>
    <r>
      <rPr>
        <i/>
        <sz val="11"/>
        <color theme="1"/>
        <rFont val="Calibri"/>
        <family val="2"/>
        <scheme val="minor"/>
      </rPr>
      <t xml:space="preserve">FV </t>
    </r>
    <r>
      <rPr>
        <sz val="11"/>
        <color theme="1"/>
        <rFont val="Calibri"/>
        <family val="2"/>
        <scheme val="minor"/>
      </rPr>
      <t>correct</t>
    </r>
  </si>
  <si>
    <t>Q26</t>
  </si>
  <si>
    <t>Q27</t>
  </si>
  <si>
    <r>
      <rPr>
        <i/>
        <sz val="11"/>
        <color theme="1"/>
        <rFont val="Calibri"/>
        <family val="2"/>
        <scheme val="minor"/>
      </rPr>
      <t xml:space="preserve">FV </t>
    </r>
    <r>
      <rPr>
        <sz val="11"/>
        <color theme="1"/>
        <rFont val="Calibri"/>
        <family val="2"/>
        <scheme val="minor"/>
      </rPr>
      <t>time</t>
    </r>
  </si>
  <si>
    <t>Q28</t>
  </si>
  <si>
    <t>Q29</t>
  </si>
  <si>
    <t>Q30</t>
  </si>
  <si>
    <r>
      <rPr>
        <i/>
        <sz val="11"/>
        <color theme="1"/>
        <rFont val="Calibri"/>
        <family val="2"/>
        <scheme val="minor"/>
      </rPr>
      <t xml:space="preserve">PV </t>
    </r>
    <r>
      <rPr>
        <sz val="11"/>
        <color theme="1"/>
        <rFont val="Calibri"/>
        <family val="2"/>
        <scheme val="minor"/>
      </rPr>
      <t>correct</t>
    </r>
  </si>
  <si>
    <r>
      <rPr>
        <i/>
        <sz val="11"/>
        <color theme="1"/>
        <rFont val="Calibri"/>
        <family val="2"/>
        <scheme val="minor"/>
      </rPr>
      <t xml:space="preserve">PV </t>
    </r>
    <r>
      <rPr>
        <sz val="11"/>
        <color theme="1"/>
        <rFont val="Calibri"/>
        <family val="2"/>
        <scheme val="minor"/>
      </rPr>
      <t>time</t>
    </r>
  </si>
  <si>
    <t>Q31</t>
  </si>
  <si>
    <t>Best option</t>
  </si>
  <si>
    <t>Pay now</t>
  </si>
  <si>
    <t>Pay later</t>
  </si>
  <si>
    <t>Incorrect</t>
  </si>
  <si>
    <t>Q32</t>
  </si>
  <si>
    <t>Defn Compound Interest</t>
  </si>
  <si>
    <t>Q33</t>
  </si>
  <si>
    <t>Defn Comp Int Correct</t>
  </si>
  <si>
    <t>Q34</t>
  </si>
  <si>
    <t>Defn Comp Int Time</t>
  </si>
  <si>
    <t>Q35</t>
  </si>
  <si>
    <t>Q36</t>
  </si>
  <si>
    <t>Q37</t>
  </si>
  <si>
    <t>Defn TMV Correct</t>
  </si>
  <si>
    <t>Defn TMV Time</t>
  </si>
  <si>
    <t>Q38</t>
  </si>
  <si>
    <t>Q39</t>
  </si>
  <si>
    <t>Q40</t>
  </si>
  <si>
    <t>Defn FV Correct</t>
  </si>
  <si>
    <t>Defn FV Time</t>
  </si>
  <si>
    <t>Q41</t>
  </si>
  <si>
    <t>Q42</t>
  </si>
  <si>
    <t>Q43</t>
  </si>
  <si>
    <t>Convert PV_FV</t>
  </si>
  <si>
    <t>Convert PV_FV Correct</t>
  </si>
  <si>
    <t>Convert PV_FV Time</t>
  </si>
  <si>
    <t>Q44</t>
  </si>
  <si>
    <t>Q45</t>
  </si>
  <si>
    <t>Q46</t>
  </si>
  <si>
    <t>Convert FV_PV</t>
  </si>
  <si>
    <t>Convert FV_PV Correct</t>
  </si>
  <si>
    <t>Convert FV_PV Time</t>
  </si>
  <si>
    <t>Q47</t>
  </si>
  <si>
    <t>Q48</t>
  </si>
  <si>
    <t>Q49</t>
  </si>
  <si>
    <t>Choose correct statement</t>
  </si>
  <si>
    <t>Choose Correct</t>
  </si>
  <si>
    <t>Choose Time</t>
  </si>
  <si>
    <t>Q50</t>
  </si>
  <si>
    <t>Q51</t>
  </si>
  <si>
    <t>Q52</t>
  </si>
  <si>
    <t>Post test</t>
  </si>
  <si>
    <t>Post test Correct</t>
  </si>
  <si>
    <t>Post test Time</t>
  </si>
  <si>
    <t>Q53</t>
  </si>
  <si>
    <t>Q54</t>
  </si>
  <si>
    <t>Q55</t>
  </si>
  <si>
    <t>Same</t>
  </si>
  <si>
    <t>Pre incorrect post correct</t>
  </si>
  <si>
    <t>Pre correct post incorrect</t>
  </si>
  <si>
    <t>Likert</t>
  </si>
  <si>
    <t>Completely disagree_completely agree</t>
  </si>
  <si>
    <t>Pre test match</t>
  </si>
  <si>
    <t>Q56</t>
  </si>
  <si>
    <t>Q57</t>
  </si>
  <si>
    <t>Q58</t>
  </si>
  <si>
    <t>Q59</t>
  </si>
  <si>
    <t>Q60</t>
  </si>
  <si>
    <t>Q61</t>
  </si>
  <si>
    <t>Best option correct</t>
  </si>
  <si>
    <t>Best option time</t>
  </si>
  <si>
    <t>Extra Question</t>
  </si>
  <si>
    <t>Extra Question Correct</t>
  </si>
  <si>
    <t>Extra Question Time</t>
  </si>
  <si>
    <t>Total Correct</t>
  </si>
  <si>
    <t>n/14</t>
  </si>
  <si>
    <t>Answer</t>
  </si>
  <si>
    <t>Post test - pre test time</t>
  </si>
  <si>
    <t>Post test pre test same or different</t>
  </si>
  <si>
    <t>Total LO Time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</si>
  <si>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</si>
  <si>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</si>
  <si>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</si>
  <si>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</si>
  <si>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</si>
  <si>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</si>
  <si>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</si>
  <si>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</si>
  <si>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</si>
  <si>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</si>
  <si>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</si>
  <si>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</si>
  <si>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</si>
  <si>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</si>
  <si>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</si>
  <si>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</si>
  <si>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</si>
  <si>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</si>
  <si>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</si>
  <si>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</si>
  <si>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</si>
  <si>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</si>
  <si>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</si>
  <si>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</si>
  <si>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</si>
  <si>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</si>
  <si>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</si>
  <si>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</si>
  <si>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</si>
  <si>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</si>
  <si>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</si>
  <si>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</si>
  <si>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</si>
  <si>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</si>
  <si>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</si>
  <si>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</si>
  <si>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</si>
  <si>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</si>
  <si>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</si>
  <si>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</si>
  <si>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</si>
  <si>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</si>
  <si>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</si>
  <si>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</si>
  <si>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</si>
  <si>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</si>
  <si>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</si>
  <si>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</si>
  <si>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</si>
  <si>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Name</t>
  </si>
  <si>
    <t>Data</t>
  </si>
  <si>
    <t>Cont/Exp</t>
  </si>
  <si>
    <t>C</t>
  </si>
  <si>
    <t>Y</t>
  </si>
  <si>
    <t>E</t>
  </si>
  <si>
    <t>Arshdeep Singh</t>
  </si>
  <si>
    <t>Jasmeet Singh</t>
  </si>
  <si>
    <t>Annabell Sulitt</t>
  </si>
  <si>
    <t>Ziheng Wang</t>
  </si>
  <si>
    <t>Steffan Wesserman</t>
  </si>
  <si>
    <t>Dave Ho</t>
  </si>
  <si>
    <t>Riley Kimmel</t>
  </si>
  <si>
    <t>Liz McLardy</t>
  </si>
  <si>
    <t>Stara Marx</t>
  </si>
  <si>
    <t>Carolyn Phelps</t>
  </si>
  <si>
    <t>Lincoln Chen</t>
  </si>
  <si>
    <t>Megan Durheim</t>
  </si>
  <si>
    <t>Diann Elliott</t>
  </si>
  <si>
    <t>Jodie Fields</t>
  </si>
  <si>
    <t>David Frick</t>
  </si>
  <si>
    <t>Jak Carrroll</t>
  </si>
  <si>
    <t>Ashley Callard</t>
  </si>
  <si>
    <t>Chris Carmody</t>
  </si>
  <si>
    <t>Amelia Gilwali</t>
  </si>
  <si>
    <t>Rod Golden</t>
  </si>
  <si>
    <t>Nicholas Hoffman</t>
  </si>
  <si>
    <t>Max Jackson</t>
  </si>
  <si>
    <t>Misty Larkin</t>
  </si>
  <si>
    <t>Ellis Lewis</t>
  </si>
  <si>
    <t>Janelle Mason</t>
  </si>
  <si>
    <t>Amir Momeri</t>
  </si>
  <si>
    <t>Colin Nazareth</t>
  </si>
  <si>
    <t>Jenette Oh</t>
  </si>
  <si>
    <t>Paul Sarkis</t>
  </si>
  <si>
    <t>Diksha Shah</t>
  </si>
  <si>
    <t>Iggy Jemix</t>
  </si>
  <si>
    <t>Mathew McKane</t>
  </si>
  <si>
    <t>Sajal Shakya</t>
  </si>
  <si>
    <t>Jinxin Hao</t>
  </si>
  <si>
    <t>Honghui Hang</t>
  </si>
  <si>
    <t>Daniel Ferreira-L</t>
  </si>
  <si>
    <t>Radhika Brahmbhatt</t>
  </si>
  <si>
    <t>Isabelle Sypott</t>
  </si>
  <si>
    <t>Xin Li</t>
  </si>
  <si>
    <t>Michaela Micelo</t>
  </si>
  <si>
    <t>Neki Rajbahak</t>
  </si>
  <si>
    <t>RithwiK Rudra</t>
  </si>
  <si>
    <t>Linh La</t>
  </si>
  <si>
    <t>Linda Woodrow</t>
  </si>
  <si>
    <t>Shuomin Yang</t>
  </si>
  <si>
    <t>Diane Wang</t>
  </si>
  <si>
    <t>Yasuhani Yoshida</t>
  </si>
  <si>
    <t>Nancy Kavu</t>
  </si>
  <si>
    <t>Fatima Neva</t>
  </si>
  <si>
    <t>Carolin Sauer</t>
  </si>
  <si>
    <t>NishadI Kol-Meth</t>
  </si>
  <si>
    <t>Jo-Anne Phillips</t>
  </si>
  <si>
    <t>Jessica A</t>
  </si>
  <si>
    <t>Jie L</t>
  </si>
  <si>
    <t>Judith S</t>
  </si>
  <si>
    <t>E29</t>
  </si>
  <si>
    <t>E30</t>
  </si>
  <si>
    <t>C27</t>
  </si>
  <si>
    <t>Qunyao L</t>
  </si>
  <si>
    <t>Variable</t>
  </si>
  <si>
    <t>Min</t>
  </si>
  <si>
    <t>Mode</t>
  </si>
  <si>
    <t>Max</t>
  </si>
  <si>
    <t>N</t>
  </si>
  <si>
    <t>Mean</t>
  </si>
  <si>
    <t>Descriptives of cohort</t>
  </si>
  <si>
    <t>Dimension</t>
  </si>
  <si>
    <t>Student Engageme nt</t>
  </si>
  <si>
    <t>Measures</t>
  </si>
  <si>
    <t>Game is the context and this is how I am measuring the factors</t>
  </si>
  <si>
    <t>eGameflow factors</t>
  </si>
  <si>
    <t>content v application</t>
  </si>
  <si>
    <t>performance and outcome</t>
  </si>
  <si>
    <t>delivery of content</t>
  </si>
  <si>
    <t>ID</t>
  </si>
  <si>
    <t>Treatment</t>
  </si>
  <si>
    <t>Edicarlos A</t>
  </si>
  <si>
    <t>Christopher F</t>
  </si>
  <si>
    <t>Peta N</t>
  </si>
  <si>
    <t>Rithwik R</t>
  </si>
  <si>
    <t>Anish B</t>
  </si>
  <si>
    <t>Azdren X</t>
  </si>
  <si>
    <t>Lisa K</t>
  </si>
  <si>
    <t>Nick C</t>
  </si>
  <si>
    <t>Barbara K</t>
  </si>
  <si>
    <t>9b</t>
  </si>
  <si>
    <t>Emma P</t>
  </si>
  <si>
    <t>C28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</si>
  <si>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</si>
  <si>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</si>
  <si>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</si>
  <si>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</si>
  <si>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</si>
  <si>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</si>
  <si>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</si>
  <si>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</si>
  <si>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</si>
  <si>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</si>
  <si>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Control/Treatment</t>
  </si>
  <si>
    <t>Control</t>
  </si>
  <si>
    <t>Active/Reflective</t>
  </si>
  <si>
    <t>0-5</t>
  </si>
  <si>
    <t>Sensing/Intuitive</t>
  </si>
  <si>
    <t>Verbal/Visual</t>
  </si>
  <si>
    <t>Sequential/Global</t>
  </si>
  <si>
    <t>Strong active - strong reflective</t>
  </si>
  <si>
    <t>Strong sensing - strong intuitive</t>
  </si>
  <si>
    <t>Strong verbal - strong visual</t>
  </si>
  <si>
    <t>Strong sequential - strong global</t>
  </si>
  <si>
    <t>Challenge items</t>
  </si>
  <si>
    <t>Feedback items</t>
  </si>
  <si>
    <t>Autonomy items</t>
  </si>
  <si>
    <t>Immersion items</t>
  </si>
  <si>
    <t>0-4</t>
  </si>
  <si>
    <t>Concentration items</t>
  </si>
  <si>
    <t>Goal clarity itmes</t>
  </si>
  <si>
    <t>Knowledge improvement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</si>
</sst>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66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3" fillId="5" borderId="0" xfId="0" applyFont="1" applyFill="1" applyAlignment="1">
      <alignment horizontal="left"/>
    </xf>
    <xf numFmtId="0" fontId="1" fillId="5" borderId="0" xfId="0" applyFont="1" applyFill="1" applyAlignment="1">
      <alignment horizontal="left"/>
    </xf>
    <xf numFmtId="0" fontId="0" fillId="0" borderId="0" xfId="0" applyAlignment="1">
      <alignment horizontal="right"/>
    </xf>
    <xf numFmtId="0" fontId="1" fillId="0" borderId="1" xfId="0" applyFont="1" applyBorder="1" applyAlignment="1"/>
    <xf numFmtId="0" fontId="0" fillId="0" borderId="1" xfId="0" applyBorder="1" applyAlignment="1"/>
    <xf numFmtId="0" fontId="0" fillId="0" borderId="1" xfId="0" applyBorder="1" applyAlignment="1">
      <alignment horizontal="left"/>
    </xf>
    <xf numFmtId="0" fontId="0" fillId="6" borderId="0" xfId="0" applyFill="1" applyAlignment="1">
      <alignment horizontal="right"/>
    </xf>
    <xf numFmtId="0" fontId="0" fillId="7" borderId="1" xfId="0" applyFill="1" applyBorder="1" applyAlignment="1">
      <alignment horizontal="left"/>
    </xf>
    <xf numFmtId="0" fontId="0" fillId="7" borderId="0" xfId="0" applyFill="1" applyAlignment="1">
      <alignment horizontal="right"/>
    </xf>
    <xf numFmtId="0" fontId="0" fillId="8" borderId="0" xfId="0" applyFill="1" applyAlignment="1">
      <alignment horizontal="right"/>
    </xf>
    <xf numFmtId="0" fontId="1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right"/>
    </xf>
    <xf numFmtId="0" fontId="1" fillId="0" borderId="0" xfId="0" applyFont="1" applyBorder="1" applyAlignment="1"/>
    <xf numFmtId="0" fontId="0" fillId="0" borderId="0" xfId="0" applyBorder="1" applyAlignment="1"/>
    <xf numFmtId="0" fontId="0" fillId="9" borderId="0" xfId="0" applyFill="1"/>
    <xf numFmtId="0" fontId="0" fillId="9" borderId="0" xfId="0" applyFill="1" applyAlignment="1">
      <alignment horizontal="right"/>
    </xf>
    <xf numFmtId="0" fontId="0" fillId="0" borderId="0" xfId="0" applyFill="1"/>
    <xf numFmtId="0" fontId="4" fillId="0" borderId="0" xfId="0" applyFont="1"/>
    <xf numFmtId="0" fontId="0" fillId="0" borderId="0" xfId="0" applyFill="1" applyBorder="1" applyAlignment="1">
      <alignment horizontal="left"/>
    </xf>
    <xf numFmtId="0" fontId="0" fillId="10" borderId="1" xfId="0" applyFill="1" applyBorder="1" applyAlignment="1">
      <alignment horizontal="left"/>
    </xf>
    <xf numFmtId="0" fontId="0" fillId="10" borderId="1" xfId="0" applyFill="1" applyBorder="1" applyAlignment="1"/>
    <xf numFmtId="0" fontId="0" fillId="0" borderId="0" xfId="0" applyFill="1" applyBorder="1" applyAlignment="1"/>
    <xf numFmtId="0" fontId="0" fillId="11" borderId="1" xfId="0" applyFill="1" applyBorder="1" applyAlignment="1"/>
    <xf numFmtId="0" fontId="0" fillId="11" borderId="0" xfId="0" applyFill="1" applyBorder="1" applyAlignment="1"/>
    <xf numFmtId="0" fontId="0" fillId="11" borderId="0" xfId="0" applyFill="1" applyAlignment="1">
      <alignment horizontal="right"/>
    </xf>
    <xf numFmtId="0" fontId="0" fillId="11" borderId="1" xfId="0" applyFill="1" applyBorder="1" applyAlignment="1">
      <alignment horizontal="left"/>
    </xf>
    <xf numFmtId="0" fontId="0" fillId="11" borderId="0" xfId="0" applyFill="1" applyBorder="1" applyAlignment="1">
      <alignment horizontal="right"/>
    </xf>
    <xf numFmtId="0" fontId="0" fillId="11" borderId="0" xfId="0" applyFill="1"/>
    <xf numFmtId="0" fontId="0" fillId="1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7"/>
  <sheetViews>
    <sheetView zoomScale="80" zoomScaleNormal="80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P2" sqref="P2"/>
    </sheetView>
  </sheetViews>
  <sheetFormatPr defaultColWidth="8.85546875" defaultRowHeight="15" x14ac:dyDescent="0.25"/>
  <cols>
    <col min="1" max="1" width="4.85546875" bestFit="1" customWidth="1"/>
    <col min="2" max="2" width="22.28515625" style="1" bestFit="1" customWidth="1"/>
    <col min="3" max="3" width="8.7109375" style="12" bestFit="1" customWidth="1"/>
    <col min="4" max="4" width="9.28515625" style="12" bestFit="1" customWidth="1"/>
    <col min="5" max="5" width="8.7109375" style="12" bestFit="1" customWidth="1"/>
    <col min="6" max="6" width="10.140625" style="12" bestFit="1" customWidth="1"/>
    <col min="7" max="7" width="8.7109375" style="12" bestFit="1" customWidth="1"/>
    <col min="8" max="8" width="11.7109375" style="12" bestFit="1" customWidth="1"/>
    <col min="9" max="11" width="8.7109375" style="12" bestFit="1" customWidth="1"/>
    <col min="12" max="12" width="10.42578125" style="12" bestFit="1" customWidth="1"/>
    <col min="13" max="15" width="8.7109375" style="12" bestFit="1" customWidth="1"/>
    <col min="16" max="17" width="10.7109375" style="12" bestFit="1" customWidth="1"/>
    <col min="18" max="18" width="8" style="12" bestFit="1" customWidth="1"/>
    <col min="19" max="19" width="8.140625" style="12" bestFit="1" customWidth="1"/>
    <col min="20" max="20" width="10" style="12" bestFit="1" customWidth="1"/>
    <col min="21" max="21" width="10.28515625" style="12" bestFit="1" customWidth="1"/>
    <col min="22" max="22" width="8.7109375" bestFit="1" customWidth="1"/>
    <col min="23" max="23" width="9.85546875" bestFit="1" customWidth="1"/>
    <col min="24" max="25" width="9.42578125" bestFit="1" customWidth="1"/>
    <col min="26" max="26" width="9.140625" bestFit="1" customWidth="1"/>
    <col min="27" max="27" width="11.42578125" bestFit="1" customWidth="1"/>
    <col min="28" max="28" width="12" bestFit="1" customWidth="1"/>
    <col min="29" max="29" width="10" bestFit="1" customWidth="1"/>
    <col min="30" max="34" width="8.85546875" style="38"/>
  </cols>
  <sheetData>
    <row r="1" spans="1:34" s="15" customFormat="1" x14ac:dyDescent="0.25">
      <c r="B1" s="2"/>
      <c r="C1" s="15" t="s">
        <v>25</v>
      </c>
      <c r="D1" s="15" t="s">
        <v>34</v>
      </c>
      <c r="E1" s="15" t="s">
        <v>35</v>
      </c>
      <c r="F1" s="15" t="s">
        <v>39</v>
      </c>
      <c r="G1" s="15" t="s">
        <v>40</v>
      </c>
      <c r="H1" s="15" t="s">
        <v>41</v>
      </c>
      <c r="I1" s="15" t="s">
        <v>42</v>
      </c>
      <c r="J1" s="15" t="s">
        <v>45</v>
      </c>
      <c r="K1" s="15" t="s">
        <v>46</v>
      </c>
      <c r="L1" s="15" t="s">
        <v>47</v>
      </c>
      <c r="M1" s="15" t="s">
        <v>48</v>
      </c>
      <c r="N1" s="15" t="s">
        <v>50</v>
      </c>
      <c r="O1" s="15" t="s">
        <v>51</v>
      </c>
      <c r="P1" s="17" t="s">
        <v>52</v>
      </c>
      <c r="Q1" s="15" t="s">
        <v>53</v>
      </c>
      <c r="R1" s="15" t="s">
        <v>54</v>
      </c>
      <c r="S1" s="15" t="s">
        <v>55</v>
      </c>
      <c r="T1" s="15" t="s">
        <v>56</v>
      </c>
      <c r="U1" s="15" t="s">
        <v>57</v>
      </c>
      <c r="V1" s="15" t="s">
        <v>59</v>
      </c>
      <c r="W1" s="15" t="s">
        <v>60</v>
      </c>
      <c r="X1" s="15" t="s">
        <v>61</v>
      </c>
      <c r="Y1" s="15" t="s">
        <v>62</v>
      </c>
      <c r="Z1" s="15" t="s">
        <v>63</v>
      </c>
      <c r="AA1" s="15" t="s">
        <v>64</v>
      </c>
      <c r="AB1" s="15" t="s">
        <v>65</v>
      </c>
      <c r="AC1" s="15" t="s">
        <v>419</v>
      </c>
      <c r="AD1" s="36" t="s">
        <v>449</v>
      </c>
      <c r="AE1" s="36"/>
      <c r="AF1" s="36"/>
      <c r="AG1" s="36"/>
      <c r="AH1" s="36"/>
    </row>
    <row r="2" spans="1:34" s="21" customFormat="1" x14ac:dyDescent="0.25">
      <c r="B2" s="20" t="s">
        <v>143</v>
      </c>
      <c r="C2" s="22">
        <v>1</v>
      </c>
      <c r="D2" s="22">
        <v>2</v>
      </c>
      <c r="E2" s="22">
        <v>3</v>
      </c>
      <c r="F2" s="22">
        <v>4</v>
      </c>
      <c r="G2" s="22">
        <v>5</v>
      </c>
      <c r="H2" s="22">
        <v>6</v>
      </c>
      <c r="I2" s="22">
        <v>7</v>
      </c>
      <c r="J2" s="22">
        <v>8</v>
      </c>
      <c r="K2" s="22">
        <v>9</v>
      </c>
      <c r="L2" s="22">
        <v>10</v>
      </c>
      <c r="M2" s="22">
        <v>11</v>
      </c>
      <c r="N2" s="22">
        <v>12</v>
      </c>
      <c r="O2" s="22">
        <v>13</v>
      </c>
      <c r="P2" s="22">
        <v>14</v>
      </c>
      <c r="Q2" s="22">
        <v>15</v>
      </c>
      <c r="R2" s="22">
        <v>16</v>
      </c>
      <c r="S2" s="22">
        <v>17</v>
      </c>
      <c r="T2" s="22">
        <v>18</v>
      </c>
      <c r="U2" s="22">
        <v>19</v>
      </c>
      <c r="V2" s="22">
        <v>20</v>
      </c>
      <c r="W2" s="22">
        <v>21</v>
      </c>
      <c r="X2" s="22">
        <v>22</v>
      </c>
      <c r="Y2" s="22">
        <v>23</v>
      </c>
      <c r="Z2" s="22">
        <v>24</v>
      </c>
      <c r="AA2" s="22">
        <v>25</v>
      </c>
      <c r="AB2" s="22">
        <v>26</v>
      </c>
      <c r="AC2" s="22">
        <v>27</v>
      </c>
      <c r="AD2" s="37">
        <v>28</v>
      </c>
      <c r="AE2" s="37">
        <v>29</v>
      </c>
      <c r="AF2" s="37">
        <v>30</v>
      </c>
      <c r="AG2" s="37">
        <v>31</v>
      </c>
      <c r="AH2" s="37">
        <v>32</v>
      </c>
    </row>
    <row r="3" spans="1:34" x14ac:dyDescent="0.25">
      <c r="B3" s="3" t="s">
        <v>9</v>
      </c>
      <c r="P3" s="18"/>
    </row>
    <row r="4" spans="1:34" x14ac:dyDescent="0.25">
      <c r="A4" t="s">
        <v>162</v>
      </c>
      <c r="B4" s="4" t="s">
        <v>0</v>
      </c>
      <c r="C4" s="12">
        <v>57</v>
      </c>
      <c r="D4" s="12">
        <v>29</v>
      </c>
      <c r="E4" s="12">
        <v>32</v>
      </c>
      <c r="F4" s="12">
        <v>49</v>
      </c>
      <c r="G4" s="12">
        <v>50</v>
      </c>
      <c r="H4" s="12">
        <v>20</v>
      </c>
      <c r="I4" s="12">
        <v>23</v>
      </c>
      <c r="J4" s="12">
        <v>35</v>
      </c>
      <c r="K4" s="12">
        <v>40</v>
      </c>
      <c r="L4" s="12">
        <v>34</v>
      </c>
      <c r="M4" s="12">
        <v>30</v>
      </c>
      <c r="N4" s="12">
        <v>42</v>
      </c>
      <c r="O4" s="12">
        <v>18</v>
      </c>
      <c r="P4" s="18">
        <v>23</v>
      </c>
      <c r="Q4" s="12">
        <v>29</v>
      </c>
      <c r="R4" s="12">
        <v>30</v>
      </c>
      <c r="S4" s="12">
        <v>22</v>
      </c>
      <c r="T4" s="12">
        <v>25</v>
      </c>
      <c r="U4" s="12">
        <v>25</v>
      </c>
      <c r="V4" s="12">
        <v>57</v>
      </c>
      <c r="W4" s="12">
        <v>21</v>
      </c>
      <c r="X4" s="12">
        <v>27</v>
      </c>
      <c r="Y4" s="12">
        <v>25</v>
      </c>
      <c r="Z4" s="12">
        <v>60</v>
      </c>
      <c r="AA4" s="12">
        <v>21</v>
      </c>
      <c r="AB4" s="12">
        <v>32</v>
      </c>
      <c r="AC4" s="12">
        <v>29</v>
      </c>
      <c r="AD4" s="38">
        <v>48</v>
      </c>
    </row>
    <row r="5" spans="1:34" x14ac:dyDescent="0.25">
      <c r="A5" t="s">
        <v>163</v>
      </c>
      <c r="B5" s="4" t="s">
        <v>1</v>
      </c>
      <c r="C5" s="12">
        <v>1</v>
      </c>
      <c r="D5" s="12">
        <v>0</v>
      </c>
      <c r="E5" s="12">
        <v>1</v>
      </c>
      <c r="F5" s="12">
        <v>0</v>
      </c>
      <c r="G5" s="12">
        <v>0</v>
      </c>
      <c r="H5" s="12">
        <v>0</v>
      </c>
      <c r="I5" s="12">
        <v>1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8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38">
        <v>1</v>
      </c>
    </row>
    <row r="6" spans="1:34" x14ac:dyDescent="0.25">
      <c r="A6" t="s">
        <v>164</v>
      </c>
      <c r="B6" s="4" t="s">
        <v>2</v>
      </c>
      <c r="C6" s="12">
        <v>0</v>
      </c>
      <c r="D6" s="12">
        <v>0</v>
      </c>
      <c r="E6" s="12">
        <v>0</v>
      </c>
      <c r="F6" s="12">
        <v>1</v>
      </c>
      <c r="G6" s="12">
        <v>0</v>
      </c>
      <c r="H6" s="12">
        <v>1</v>
      </c>
      <c r="I6" s="12">
        <v>1</v>
      </c>
      <c r="J6" s="12">
        <v>1</v>
      </c>
      <c r="K6" s="12">
        <v>1</v>
      </c>
      <c r="L6" s="12">
        <v>1</v>
      </c>
      <c r="M6" s="12">
        <v>1</v>
      </c>
      <c r="N6" s="12">
        <v>0</v>
      </c>
      <c r="O6" s="12">
        <v>0</v>
      </c>
      <c r="P6" s="18">
        <v>1</v>
      </c>
      <c r="Q6" s="12">
        <v>0</v>
      </c>
      <c r="R6" s="12">
        <v>1</v>
      </c>
      <c r="S6" s="12">
        <v>1</v>
      </c>
      <c r="T6" s="12">
        <v>1</v>
      </c>
      <c r="U6" s="12">
        <v>1</v>
      </c>
      <c r="V6" s="12">
        <v>0</v>
      </c>
      <c r="W6" s="12">
        <v>1</v>
      </c>
      <c r="X6" s="12">
        <v>1</v>
      </c>
      <c r="Y6" s="12">
        <v>1</v>
      </c>
      <c r="Z6" s="12">
        <v>0</v>
      </c>
      <c r="AA6" s="12">
        <v>1</v>
      </c>
      <c r="AB6" s="12">
        <v>1</v>
      </c>
      <c r="AC6" s="12">
        <v>1</v>
      </c>
      <c r="AD6" s="38">
        <v>0</v>
      </c>
    </row>
    <row r="7" spans="1:34" x14ac:dyDescent="0.25">
      <c r="A7" t="s">
        <v>165</v>
      </c>
      <c r="B7" s="4" t="s">
        <v>3</v>
      </c>
      <c r="C7" s="12">
        <v>0</v>
      </c>
      <c r="D7" s="12">
        <v>1</v>
      </c>
      <c r="E7" s="12">
        <v>0</v>
      </c>
      <c r="F7" s="12">
        <v>1</v>
      </c>
      <c r="G7" s="12">
        <v>0</v>
      </c>
      <c r="H7" s="12">
        <v>0</v>
      </c>
      <c r="I7" s="12">
        <v>1</v>
      </c>
      <c r="J7" s="12">
        <v>0</v>
      </c>
      <c r="K7" s="12">
        <v>1</v>
      </c>
      <c r="L7" s="12">
        <v>1</v>
      </c>
      <c r="M7" s="12">
        <v>1</v>
      </c>
      <c r="N7" s="12">
        <v>1</v>
      </c>
      <c r="O7" s="12">
        <v>0</v>
      </c>
      <c r="P7" s="18">
        <v>0</v>
      </c>
      <c r="Q7" s="12">
        <v>1</v>
      </c>
      <c r="R7" s="12">
        <v>0</v>
      </c>
      <c r="S7" s="12">
        <v>0</v>
      </c>
      <c r="T7" s="12">
        <v>1</v>
      </c>
      <c r="U7" s="12">
        <v>1</v>
      </c>
      <c r="V7" s="12">
        <v>0</v>
      </c>
      <c r="W7" s="12">
        <v>1</v>
      </c>
      <c r="X7" s="12">
        <v>1</v>
      </c>
      <c r="Y7" s="12">
        <v>1</v>
      </c>
      <c r="Z7" s="12">
        <v>1</v>
      </c>
      <c r="AA7" s="12">
        <v>1</v>
      </c>
      <c r="AB7" s="12">
        <v>0</v>
      </c>
      <c r="AC7" s="12">
        <v>1</v>
      </c>
      <c r="AD7" s="38">
        <v>1</v>
      </c>
    </row>
    <row r="8" spans="1:34" x14ac:dyDescent="0.25">
      <c r="A8" t="s">
        <v>182</v>
      </c>
      <c r="B8" s="4" t="s">
        <v>4</v>
      </c>
      <c r="C8" s="12">
        <v>2</v>
      </c>
      <c r="D8" s="12">
        <v>1</v>
      </c>
      <c r="E8" s="12">
        <v>1</v>
      </c>
      <c r="F8" s="12">
        <v>2</v>
      </c>
      <c r="G8" s="12">
        <v>2</v>
      </c>
      <c r="H8" s="12">
        <v>1</v>
      </c>
      <c r="I8" s="12">
        <v>1</v>
      </c>
      <c r="J8" s="12">
        <v>2</v>
      </c>
      <c r="K8" s="12">
        <v>2</v>
      </c>
      <c r="L8" s="12">
        <v>2</v>
      </c>
      <c r="M8" s="12">
        <v>2</v>
      </c>
      <c r="N8" s="12">
        <v>1</v>
      </c>
      <c r="O8" s="12">
        <v>1</v>
      </c>
      <c r="P8" s="18">
        <v>1</v>
      </c>
      <c r="Q8" s="12">
        <v>1</v>
      </c>
      <c r="R8" s="12">
        <v>1</v>
      </c>
      <c r="S8" s="12">
        <v>2</v>
      </c>
      <c r="T8" s="12">
        <v>2</v>
      </c>
      <c r="U8" s="12">
        <v>2</v>
      </c>
      <c r="V8" s="12">
        <v>1</v>
      </c>
      <c r="W8" s="12">
        <v>1</v>
      </c>
      <c r="X8" s="12">
        <v>2</v>
      </c>
      <c r="Y8" s="12">
        <v>2</v>
      </c>
      <c r="Z8" s="12">
        <v>2</v>
      </c>
      <c r="AA8" s="12">
        <v>1</v>
      </c>
      <c r="AB8" s="12">
        <v>2</v>
      </c>
      <c r="AC8" s="12">
        <v>3</v>
      </c>
      <c r="AD8" s="38">
        <v>3</v>
      </c>
    </row>
    <row r="9" spans="1:34" x14ac:dyDescent="0.25">
      <c r="A9" t="s">
        <v>183</v>
      </c>
      <c r="B9" s="4" t="s">
        <v>5</v>
      </c>
      <c r="C9" s="12">
        <v>0</v>
      </c>
      <c r="D9" s="12">
        <v>1</v>
      </c>
      <c r="E9" s="12">
        <v>1</v>
      </c>
      <c r="F9" s="12">
        <v>1</v>
      </c>
      <c r="G9" s="12">
        <v>1</v>
      </c>
      <c r="H9" s="12">
        <v>1</v>
      </c>
      <c r="I9" s="12">
        <v>1</v>
      </c>
      <c r="J9" s="12">
        <v>0</v>
      </c>
      <c r="K9" s="12">
        <v>1</v>
      </c>
      <c r="L9" s="12">
        <v>1</v>
      </c>
      <c r="M9" s="12">
        <v>1</v>
      </c>
      <c r="N9" s="12">
        <v>1</v>
      </c>
      <c r="O9" s="12">
        <v>0</v>
      </c>
      <c r="P9" s="18">
        <v>1</v>
      </c>
      <c r="Q9" s="12">
        <v>1</v>
      </c>
      <c r="R9" s="12">
        <v>1</v>
      </c>
      <c r="S9" s="12">
        <v>0</v>
      </c>
      <c r="T9" s="12">
        <v>1</v>
      </c>
      <c r="U9" s="12">
        <v>1</v>
      </c>
      <c r="V9" s="12">
        <v>1</v>
      </c>
      <c r="W9" s="12">
        <v>0</v>
      </c>
      <c r="X9" s="12">
        <v>1</v>
      </c>
      <c r="Y9" s="12">
        <v>4</v>
      </c>
      <c r="Z9" s="12">
        <v>6</v>
      </c>
      <c r="AA9" s="12">
        <v>1</v>
      </c>
      <c r="AB9" s="12">
        <v>1</v>
      </c>
      <c r="AC9" s="12">
        <v>1</v>
      </c>
      <c r="AD9" s="38">
        <v>0</v>
      </c>
    </row>
    <row r="10" spans="1:34" x14ac:dyDescent="0.25">
      <c r="A10" t="s">
        <v>189</v>
      </c>
      <c r="B10" s="4" t="s">
        <v>6</v>
      </c>
      <c r="C10" s="12">
        <v>1</v>
      </c>
      <c r="D10" s="12">
        <v>0</v>
      </c>
      <c r="E10" s="12">
        <v>0</v>
      </c>
      <c r="F10" s="12">
        <v>1</v>
      </c>
      <c r="G10" s="12">
        <v>0</v>
      </c>
      <c r="H10" s="12">
        <v>0</v>
      </c>
      <c r="I10" s="12">
        <v>1</v>
      </c>
      <c r="J10" s="12">
        <v>0</v>
      </c>
      <c r="K10" s="12">
        <v>0</v>
      </c>
      <c r="L10" s="12">
        <v>0</v>
      </c>
      <c r="M10" s="12">
        <v>1</v>
      </c>
      <c r="N10" s="12">
        <v>0</v>
      </c>
      <c r="O10" s="12">
        <v>0</v>
      </c>
      <c r="P10" s="18">
        <v>0</v>
      </c>
      <c r="Q10" s="12">
        <v>1</v>
      </c>
      <c r="R10" s="12">
        <v>1</v>
      </c>
      <c r="S10" s="12">
        <v>1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1</v>
      </c>
      <c r="Z10" s="12">
        <v>1</v>
      </c>
      <c r="AA10" s="12">
        <v>0</v>
      </c>
      <c r="AB10" s="12">
        <v>1</v>
      </c>
      <c r="AC10" s="12">
        <v>0</v>
      </c>
      <c r="AD10" s="38">
        <v>1</v>
      </c>
    </row>
    <row r="11" spans="1:34" x14ac:dyDescent="0.25">
      <c r="A11" t="s">
        <v>194</v>
      </c>
      <c r="B11" s="4" t="s">
        <v>7</v>
      </c>
      <c r="D11" s="12">
        <v>0</v>
      </c>
      <c r="E11" s="12">
        <v>1</v>
      </c>
      <c r="G11" s="12">
        <v>0</v>
      </c>
      <c r="H11" s="12">
        <v>2</v>
      </c>
      <c r="J11" s="12">
        <v>1</v>
      </c>
      <c r="K11" s="12">
        <v>1</v>
      </c>
      <c r="L11" s="12">
        <v>1</v>
      </c>
      <c r="N11" s="12">
        <v>0</v>
      </c>
      <c r="O11" s="12">
        <v>1</v>
      </c>
      <c r="P11" s="18">
        <v>0</v>
      </c>
      <c r="T11" s="12">
        <v>1</v>
      </c>
      <c r="U11" s="12">
        <v>0</v>
      </c>
      <c r="V11" s="12">
        <v>2</v>
      </c>
      <c r="W11" s="12">
        <v>1</v>
      </c>
      <c r="X11" s="12">
        <v>0</v>
      </c>
      <c r="Z11" s="12"/>
      <c r="AA11" s="12">
        <v>0</v>
      </c>
      <c r="AB11" s="12"/>
      <c r="AC11" s="12">
        <v>0</v>
      </c>
    </row>
    <row r="12" spans="1:34" x14ac:dyDescent="0.25">
      <c r="A12" t="s">
        <v>199</v>
      </c>
      <c r="B12" s="4" t="s">
        <v>8</v>
      </c>
      <c r="C12" s="12">
        <v>2</v>
      </c>
      <c r="D12" s="12">
        <v>2</v>
      </c>
      <c r="E12" s="12">
        <v>2</v>
      </c>
      <c r="F12" s="12">
        <v>2</v>
      </c>
      <c r="G12" s="12">
        <v>2</v>
      </c>
      <c r="H12" s="12">
        <v>2</v>
      </c>
      <c r="I12" s="12">
        <v>2</v>
      </c>
      <c r="J12" s="12">
        <v>0</v>
      </c>
      <c r="K12" s="12">
        <v>2</v>
      </c>
      <c r="L12" s="12">
        <v>2</v>
      </c>
      <c r="M12" s="12">
        <v>0</v>
      </c>
      <c r="N12" s="12">
        <v>2</v>
      </c>
      <c r="O12" s="12">
        <v>2</v>
      </c>
      <c r="P12" s="18">
        <v>2</v>
      </c>
      <c r="Q12" s="12">
        <v>2</v>
      </c>
      <c r="R12" s="12">
        <v>0</v>
      </c>
      <c r="S12" s="12">
        <v>2</v>
      </c>
      <c r="T12" s="12">
        <v>2</v>
      </c>
      <c r="U12" s="12">
        <v>2</v>
      </c>
      <c r="V12" s="12">
        <v>2</v>
      </c>
      <c r="W12" s="12">
        <v>2</v>
      </c>
      <c r="X12" s="12">
        <v>2</v>
      </c>
      <c r="Y12" s="12">
        <v>2</v>
      </c>
      <c r="Z12" s="12">
        <v>3</v>
      </c>
      <c r="AA12" s="12">
        <v>2</v>
      </c>
      <c r="AB12" s="12">
        <v>2</v>
      </c>
      <c r="AC12" s="12">
        <v>0</v>
      </c>
      <c r="AD12" s="38">
        <v>2</v>
      </c>
    </row>
    <row r="13" spans="1:34" x14ac:dyDescent="0.25">
      <c r="A13" t="s">
        <v>205</v>
      </c>
      <c r="B13" s="4" t="s">
        <v>144</v>
      </c>
      <c r="C13" s="12">
        <v>37</v>
      </c>
      <c r="D13" s="12">
        <v>545</v>
      </c>
      <c r="E13" s="12">
        <v>36</v>
      </c>
      <c r="F13" s="12">
        <v>673</v>
      </c>
      <c r="G13" s="12">
        <v>279</v>
      </c>
      <c r="H13" s="12">
        <v>53</v>
      </c>
      <c r="I13" s="12">
        <v>190</v>
      </c>
      <c r="J13" s="12">
        <v>101</v>
      </c>
      <c r="K13" s="12">
        <v>119</v>
      </c>
      <c r="L13" s="12">
        <v>105</v>
      </c>
      <c r="M13" s="12">
        <v>47</v>
      </c>
      <c r="N13" s="12">
        <v>329</v>
      </c>
      <c r="O13" s="12">
        <v>30</v>
      </c>
      <c r="P13" s="18">
        <v>81</v>
      </c>
      <c r="Q13" s="12">
        <v>96</v>
      </c>
      <c r="R13" s="12">
        <v>111</v>
      </c>
      <c r="S13" s="12">
        <v>114</v>
      </c>
      <c r="T13" s="12">
        <v>155</v>
      </c>
      <c r="U13" s="12">
        <v>44</v>
      </c>
      <c r="V13" s="12">
        <v>316</v>
      </c>
      <c r="W13" s="12">
        <v>47</v>
      </c>
      <c r="X13" s="12">
        <v>403</v>
      </c>
      <c r="Y13" s="12">
        <v>68</v>
      </c>
      <c r="Z13" s="12">
        <v>168</v>
      </c>
      <c r="AA13" s="12">
        <v>40</v>
      </c>
      <c r="AB13" s="12">
        <v>110</v>
      </c>
      <c r="AC13" s="12">
        <v>11</v>
      </c>
      <c r="AD13" s="38">
        <v>115</v>
      </c>
    </row>
    <row r="14" spans="1:34" x14ac:dyDescent="0.25">
      <c r="A14" t="s">
        <v>206</v>
      </c>
      <c r="B14" s="4" t="s">
        <v>112</v>
      </c>
      <c r="C14" s="12">
        <f>IF(C12=2,1,0)</f>
        <v>1</v>
      </c>
      <c r="D14" s="12">
        <f t="shared" ref="D14:AH14" si="0">IF(D12=2,1,0)</f>
        <v>1</v>
      </c>
      <c r="E14" s="12">
        <f t="shared" si="0"/>
        <v>1</v>
      </c>
      <c r="F14" s="12">
        <f t="shared" si="0"/>
        <v>1</v>
      </c>
      <c r="G14" s="12">
        <f t="shared" si="0"/>
        <v>1</v>
      </c>
      <c r="H14" s="12">
        <f t="shared" si="0"/>
        <v>1</v>
      </c>
      <c r="I14" s="12">
        <f t="shared" si="0"/>
        <v>1</v>
      </c>
      <c r="J14" s="12">
        <f t="shared" si="0"/>
        <v>0</v>
      </c>
      <c r="K14" s="12">
        <f t="shared" si="0"/>
        <v>1</v>
      </c>
      <c r="L14" s="12">
        <f t="shared" si="0"/>
        <v>1</v>
      </c>
      <c r="M14" s="12">
        <f t="shared" si="0"/>
        <v>0</v>
      </c>
      <c r="N14" s="12">
        <f t="shared" si="0"/>
        <v>1</v>
      </c>
      <c r="O14" s="12">
        <f t="shared" si="0"/>
        <v>1</v>
      </c>
      <c r="P14" s="12">
        <f t="shared" si="0"/>
        <v>1</v>
      </c>
      <c r="Q14" s="12">
        <f t="shared" si="0"/>
        <v>1</v>
      </c>
      <c r="R14" s="12">
        <f t="shared" si="0"/>
        <v>0</v>
      </c>
      <c r="S14" s="12">
        <f t="shared" si="0"/>
        <v>1</v>
      </c>
      <c r="T14" s="12">
        <f t="shared" si="0"/>
        <v>1</v>
      </c>
      <c r="U14" s="12">
        <f t="shared" si="0"/>
        <v>1</v>
      </c>
      <c r="V14" s="12">
        <f t="shared" si="0"/>
        <v>1</v>
      </c>
      <c r="W14" s="12">
        <f t="shared" si="0"/>
        <v>1</v>
      </c>
      <c r="X14" s="12">
        <f t="shared" si="0"/>
        <v>1</v>
      </c>
      <c r="Y14" s="12">
        <f t="shared" si="0"/>
        <v>1</v>
      </c>
      <c r="Z14" s="12">
        <f t="shared" si="0"/>
        <v>0</v>
      </c>
      <c r="AA14" s="12">
        <f t="shared" si="0"/>
        <v>1</v>
      </c>
      <c r="AB14" s="12">
        <f t="shared" si="0"/>
        <v>1</v>
      </c>
      <c r="AC14" s="12">
        <f t="shared" si="0"/>
        <v>0</v>
      </c>
      <c r="AD14" s="12">
        <f t="shared" si="0"/>
        <v>1</v>
      </c>
      <c r="AE14" s="12">
        <f t="shared" si="0"/>
        <v>0</v>
      </c>
      <c r="AF14" s="12">
        <f t="shared" si="0"/>
        <v>0</v>
      </c>
      <c r="AG14" s="12">
        <f t="shared" si="0"/>
        <v>0</v>
      </c>
      <c r="AH14" s="12">
        <f t="shared" si="0"/>
        <v>0</v>
      </c>
    </row>
    <row r="15" spans="1:34" x14ac:dyDescent="0.25">
      <c r="B15" s="5" t="s">
        <v>10</v>
      </c>
      <c r="P15" s="18"/>
      <c r="AA15" s="12"/>
    </row>
    <row r="16" spans="1:34" x14ac:dyDescent="0.25">
      <c r="A16" t="s">
        <v>209</v>
      </c>
      <c r="B16" s="6" t="s">
        <v>26</v>
      </c>
      <c r="C16" s="12" t="s">
        <v>27</v>
      </c>
      <c r="D16" s="12" t="s">
        <v>27</v>
      </c>
      <c r="E16" s="12" t="s">
        <v>36</v>
      </c>
      <c r="F16" s="12" t="s">
        <v>30</v>
      </c>
      <c r="G16" s="12" t="s">
        <v>36</v>
      </c>
      <c r="H16" s="12" t="s">
        <v>36</v>
      </c>
      <c r="I16" s="12" t="s">
        <v>30</v>
      </c>
      <c r="J16" s="12" t="s">
        <v>44</v>
      </c>
      <c r="K16" s="12" t="s">
        <v>30</v>
      </c>
      <c r="L16" s="12" t="s">
        <v>27</v>
      </c>
      <c r="M16" s="12" t="s">
        <v>49</v>
      </c>
      <c r="N16" s="12" t="s">
        <v>43</v>
      </c>
      <c r="O16" s="12" t="s">
        <v>36</v>
      </c>
      <c r="P16" s="18" t="s">
        <v>37</v>
      </c>
      <c r="Q16" s="12" t="s">
        <v>30</v>
      </c>
      <c r="R16" s="12" t="s">
        <v>44</v>
      </c>
      <c r="S16" s="12" t="s">
        <v>43</v>
      </c>
      <c r="T16" s="12" t="s">
        <v>43</v>
      </c>
      <c r="U16" s="12" t="s">
        <v>58</v>
      </c>
      <c r="V16" s="12" t="s">
        <v>31</v>
      </c>
      <c r="W16" s="12" t="s">
        <v>31</v>
      </c>
      <c r="X16" s="12" t="s">
        <v>31</v>
      </c>
      <c r="Y16" s="12" t="s">
        <v>30</v>
      </c>
      <c r="Z16" s="12" t="s">
        <v>49</v>
      </c>
      <c r="AA16" s="12" t="s">
        <v>43</v>
      </c>
      <c r="AB16" s="12" t="s">
        <v>44</v>
      </c>
      <c r="AC16" s="12" t="s">
        <v>27</v>
      </c>
      <c r="AD16" s="35" t="s">
        <v>44</v>
      </c>
      <c r="AE16" s="35"/>
      <c r="AF16" s="35"/>
      <c r="AG16" s="35"/>
      <c r="AH16" s="35"/>
    </row>
    <row r="17" spans="1:34" x14ac:dyDescent="0.25">
      <c r="A17" t="s">
        <v>210</v>
      </c>
      <c r="B17" s="6" t="s">
        <v>28</v>
      </c>
      <c r="C17" s="12" t="s">
        <v>29</v>
      </c>
      <c r="D17" s="12" t="s">
        <v>30</v>
      </c>
      <c r="E17" s="12" t="s">
        <v>37</v>
      </c>
      <c r="F17" s="12" t="s">
        <v>31</v>
      </c>
      <c r="G17" s="12" t="s">
        <v>37</v>
      </c>
      <c r="H17" s="12" t="s">
        <v>29</v>
      </c>
      <c r="I17" s="12" t="s">
        <v>43</v>
      </c>
      <c r="J17" s="12" t="s">
        <v>38</v>
      </c>
      <c r="K17" s="12" t="s">
        <v>31</v>
      </c>
      <c r="L17" s="12" t="s">
        <v>43</v>
      </c>
      <c r="M17" s="12" t="s">
        <v>29</v>
      </c>
      <c r="N17" s="12" t="s">
        <v>38</v>
      </c>
      <c r="O17" s="12" t="s">
        <v>31</v>
      </c>
      <c r="P17" s="18" t="s">
        <v>37</v>
      </c>
      <c r="Q17" s="12" t="s">
        <v>38</v>
      </c>
      <c r="R17" s="12" t="s">
        <v>38</v>
      </c>
      <c r="S17" s="12" t="s">
        <v>27</v>
      </c>
      <c r="T17" s="12" t="s">
        <v>27</v>
      </c>
      <c r="U17" s="12" t="s">
        <v>31</v>
      </c>
      <c r="V17" s="12" t="s">
        <v>49</v>
      </c>
      <c r="W17" s="12" t="s">
        <v>30</v>
      </c>
      <c r="X17" s="12" t="s">
        <v>38</v>
      </c>
      <c r="Y17" s="12" t="s">
        <v>38</v>
      </c>
      <c r="Z17" s="12" t="s">
        <v>43</v>
      </c>
      <c r="AA17" s="12" t="s">
        <v>31</v>
      </c>
      <c r="AB17" s="12" t="s">
        <v>27</v>
      </c>
      <c r="AC17" s="12" t="s">
        <v>31</v>
      </c>
      <c r="AD17" s="35" t="s">
        <v>30</v>
      </c>
      <c r="AE17" s="35"/>
      <c r="AF17" s="35"/>
      <c r="AG17" s="35"/>
      <c r="AH17" s="35"/>
    </row>
    <row r="18" spans="1:34" x14ac:dyDescent="0.25">
      <c r="A18" t="s">
        <v>211</v>
      </c>
      <c r="B18" s="6" t="s">
        <v>32</v>
      </c>
      <c r="C18" s="12" t="s">
        <v>30</v>
      </c>
      <c r="D18" s="12" t="s">
        <v>30</v>
      </c>
      <c r="E18" s="12" t="s">
        <v>29</v>
      </c>
      <c r="F18" s="12" t="s">
        <v>30</v>
      </c>
      <c r="G18" s="12" t="s">
        <v>29</v>
      </c>
      <c r="H18" s="12" t="s">
        <v>30</v>
      </c>
      <c r="I18" s="12" t="s">
        <v>43</v>
      </c>
      <c r="J18" s="12" t="s">
        <v>30</v>
      </c>
      <c r="K18" s="12" t="s">
        <v>29</v>
      </c>
      <c r="L18" s="12" t="s">
        <v>44</v>
      </c>
      <c r="M18" s="12" t="s">
        <v>30</v>
      </c>
      <c r="N18" s="12" t="s">
        <v>43</v>
      </c>
      <c r="O18" s="12" t="s">
        <v>44</v>
      </c>
      <c r="P18" s="18" t="s">
        <v>37</v>
      </c>
      <c r="Q18" s="12" t="s">
        <v>38</v>
      </c>
      <c r="R18" s="12" t="s">
        <v>38</v>
      </c>
      <c r="S18" s="12" t="s">
        <v>30</v>
      </c>
      <c r="T18" s="12" t="s">
        <v>44</v>
      </c>
      <c r="U18" s="12" t="s">
        <v>44</v>
      </c>
      <c r="V18" s="12" t="s">
        <v>37</v>
      </c>
      <c r="W18" s="12" t="s">
        <v>44</v>
      </c>
      <c r="X18" s="12" t="s">
        <v>27</v>
      </c>
      <c r="Y18" s="12" t="s">
        <v>30</v>
      </c>
      <c r="Z18" s="12" t="s">
        <v>31</v>
      </c>
      <c r="AA18" s="12" t="s">
        <v>49</v>
      </c>
      <c r="AB18" s="12" t="s">
        <v>44</v>
      </c>
      <c r="AC18" s="12" t="s">
        <v>27</v>
      </c>
      <c r="AD18" s="35" t="s">
        <v>37</v>
      </c>
      <c r="AE18" s="35"/>
      <c r="AF18" s="35"/>
      <c r="AG18" s="35"/>
      <c r="AH18" s="35"/>
    </row>
    <row r="19" spans="1:34" x14ac:dyDescent="0.25">
      <c r="A19" t="s">
        <v>212</v>
      </c>
      <c r="B19" s="6" t="s">
        <v>33</v>
      </c>
      <c r="C19" s="12" t="s">
        <v>31</v>
      </c>
      <c r="D19" s="12" t="s">
        <v>29</v>
      </c>
      <c r="E19" s="12" t="s">
        <v>38</v>
      </c>
      <c r="F19" s="12" t="s">
        <v>31</v>
      </c>
      <c r="G19" s="12" t="s">
        <v>31</v>
      </c>
      <c r="H19" s="12" t="s">
        <v>38</v>
      </c>
      <c r="I19" s="12" t="s">
        <v>44</v>
      </c>
      <c r="J19" s="12" t="s">
        <v>30</v>
      </c>
      <c r="K19" s="12" t="s">
        <v>43</v>
      </c>
      <c r="L19" s="12" t="s">
        <v>30</v>
      </c>
      <c r="M19" s="12" t="s">
        <v>29</v>
      </c>
      <c r="N19" s="12" t="s">
        <v>30</v>
      </c>
      <c r="O19" s="12" t="s">
        <v>44</v>
      </c>
      <c r="P19" s="18" t="s">
        <v>37</v>
      </c>
      <c r="Q19" s="12" t="s">
        <v>43</v>
      </c>
      <c r="R19" s="12" t="s">
        <v>44</v>
      </c>
      <c r="S19" s="12" t="s">
        <v>31</v>
      </c>
      <c r="T19" s="12" t="s">
        <v>31</v>
      </c>
      <c r="U19" s="12" t="s">
        <v>38</v>
      </c>
      <c r="V19" s="12" t="s">
        <v>27</v>
      </c>
      <c r="W19" s="12" t="s">
        <v>44</v>
      </c>
      <c r="X19" s="12" t="s">
        <v>30</v>
      </c>
      <c r="Y19" s="12" t="s">
        <v>44</v>
      </c>
      <c r="Z19" s="12" t="s">
        <v>49</v>
      </c>
      <c r="AA19" s="12" t="s">
        <v>31</v>
      </c>
      <c r="AB19" s="12" t="s">
        <v>43</v>
      </c>
      <c r="AC19" s="12" t="s">
        <v>38</v>
      </c>
      <c r="AD19" s="35" t="s">
        <v>31</v>
      </c>
      <c r="AE19" s="35"/>
      <c r="AF19" s="35"/>
      <c r="AG19" s="35"/>
      <c r="AH19" s="35"/>
    </row>
    <row r="20" spans="1:34" x14ac:dyDescent="0.25">
      <c r="B20" s="7" t="s">
        <v>24</v>
      </c>
      <c r="P20" s="18"/>
    </row>
    <row r="21" spans="1:34" x14ac:dyDescent="0.25">
      <c r="A21" t="s">
        <v>213</v>
      </c>
      <c r="B21" s="8" t="s">
        <v>11</v>
      </c>
      <c r="C21" s="12">
        <v>4</v>
      </c>
      <c r="D21" s="12">
        <v>4</v>
      </c>
      <c r="E21" s="12">
        <v>4</v>
      </c>
      <c r="F21" s="12">
        <v>632.19000000000005</v>
      </c>
      <c r="G21" s="12">
        <v>4</v>
      </c>
      <c r="H21" s="12">
        <v>4</v>
      </c>
      <c r="I21" s="12">
        <v>4</v>
      </c>
      <c r="J21" s="12">
        <v>4</v>
      </c>
      <c r="K21" s="12">
        <v>4</v>
      </c>
      <c r="L21" s="12">
        <v>4</v>
      </c>
      <c r="M21" s="12">
        <v>4</v>
      </c>
      <c r="N21" s="12">
        <v>4</v>
      </c>
      <c r="O21" s="12">
        <v>4</v>
      </c>
      <c r="P21" s="18">
        <v>0</v>
      </c>
      <c r="Q21" s="12">
        <v>2524.9499999999998</v>
      </c>
      <c r="R21" s="12">
        <v>4</v>
      </c>
      <c r="S21" s="12">
        <v>4</v>
      </c>
      <c r="T21" s="12">
        <v>3</v>
      </c>
      <c r="U21" s="12">
        <v>4</v>
      </c>
      <c r="V21" s="12">
        <v>4</v>
      </c>
      <c r="W21" s="12">
        <v>4</v>
      </c>
      <c r="X21" s="12">
        <v>4</v>
      </c>
      <c r="Y21" s="12">
        <v>2500</v>
      </c>
      <c r="Z21" s="12">
        <v>4</v>
      </c>
      <c r="AA21" s="12">
        <v>3.8</v>
      </c>
      <c r="AB21" s="12">
        <v>4</v>
      </c>
      <c r="AC21" s="12">
        <v>3</v>
      </c>
      <c r="AD21" s="38">
        <v>4</v>
      </c>
    </row>
    <row r="22" spans="1:34" x14ac:dyDescent="0.25">
      <c r="A22" t="s">
        <v>215</v>
      </c>
      <c r="B22" s="9" t="s">
        <v>96</v>
      </c>
      <c r="C22" s="12">
        <f>IF(C21=4,1,0)</f>
        <v>1</v>
      </c>
      <c r="D22" s="12">
        <f t="shared" ref="D22:AG22" si="1">IF(D21=4,1,0)</f>
        <v>1</v>
      </c>
      <c r="E22" s="12">
        <f t="shared" si="1"/>
        <v>1</v>
      </c>
      <c r="F22" s="12">
        <f t="shared" si="1"/>
        <v>0</v>
      </c>
      <c r="G22" s="12">
        <f t="shared" si="1"/>
        <v>1</v>
      </c>
      <c r="H22" s="12">
        <f t="shared" si="1"/>
        <v>1</v>
      </c>
      <c r="I22" s="12">
        <f t="shared" si="1"/>
        <v>1</v>
      </c>
      <c r="J22" s="12">
        <f t="shared" si="1"/>
        <v>1</v>
      </c>
      <c r="K22" s="12">
        <f t="shared" si="1"/>
        <v>1</v>
      </c>
      <c r="L22" s="12">
        <f t="shared" si="1"/>
        <v>1</v>
      </c>
      <c r="M22" s="12">
        <f t="shared" si="1"/>
        <v>1</v>
      </c>
      <c r="N22" s="12">
        <f t="shared" si="1"/>
        <v>1</v>
      </c>
      <c r="O22" s="12">
        <f t="shared" si="1"/>
        <v>1</v>
      </c>
      <c r="P22" s="12">
        <f t="shared" si="1"/>
        <v>0</v>
      </c>
      <c r="Q22" s="12">
        <f t="shared" si="1"/>
        <v>0</v>
      </c>
      <c r="R22" s="12">
        <f t="shared" si="1"/>
        <v>1</v>
      </c>
      <c r="S22" s="12">
        <f t="shared" si="1"/>
        <v>1</v>
      </c>
      <c r="T22" s="12">
        <f t="shared" si="1"/>
        <v>0</v>
      </c>
      <c r="U22" s="12">
        <f t="shared" si="1"/>
        <v>1</v>
      </c>
      <c r="V22" s="12">
        <f t="shared" si="1"/>
        <v>1</v>
      </c>
      <c r="W22" s="12">
        <f t="shared" si="1"/>
        <v>1</v>
      </c>
      <c r="X22" s="12">
        <f t="shared" si="1"/>
        <v>1</v>
      </c>
      <c r="Y22" s="12">
        <f t="shared" si="1"/>
        <v>0</v>
      </c>
      <c r="Z22" s="12">
        <f t="shared" si="1"/>
        <v>1</v>
      </c>
      <c r="AA22" s="12">
        <f t="shared" si="1"/>
        <v>0</v>
      </c>
      <c r="AB22" s="12">
        <f t="shared" si="1"/>
        <v>1</v>
      </c>
      <c r="AC22" s="12">
        <f t="shared" si="1"/>
        <v>0</v>
      </c>
      <c r="AD22" s="35">
        <f t="shared" si="1"/>
        <v>1</v>
      </c>
      <c r="AE22" s="35">
        <f t="shared" si="1"/>
        <v>0</v>
      </c>
      <c r="AF22" s="35">
        <f t="shared" si="1"/>
        <v>0</v>
      </c>
      <c r="AG22" s="35">
        <f t="shared" si="1"/>
        <v>0</v>
      </c>
    </row>
    <row r="23" spans="1:34" x14ac:dyDescent="0.25">
      <c r="A23" t="s">
        <v>216</v>
      </c>
      <c r="B23" s="9" t="s">
        <v>145</v>
      </c>
      <c r="C23" s="12">
        <v>27</v>
      </c>
      <c r="D23" s="12">
        <v>47</v>
      </c>
      <c r="E23" s="12">
        <v>59</v>
      </c>
      <c r="F23" s="12">
        <v>503</v>
      </c>
      <c r="G23" s="12">
        <v>64</v>
      </c>
      <c r="H23" s="12">
        <v>40</v>
      </c>
      <c r="I23" s="12">
        <v>145</v>
      </c>
      <c r="J23" s="12">
        <v>42</v>
      </c>
      <c r="K23" s="12">
        <v>146</v>
      </c>
      <c r="L23" s="12">
        <v>108</v>
      </c>
      <c r="M23" s="12">
        <v>27</v>
      </c>
      <c r="N23" s="12">
        <v>181</v>
      </c>
      <c r="O23" s="12">
        <v>28</v>
      </c>
      <c r="P23" s="12">
        <v>13</v>
      </c>
      <c r="Q23" s="12">
        <v>115</v>
      </c>
      <c r="R23" s="12">
        <v>94</v>
      </c>
      <c r="S23" s="12">
        <v>65</v>
      </c>
      <c r="T23" s="12">
        <v>32</v>
      </c>
      <c r="U23" s="12">
        <v>209</v>
      </c>
      <c r="V23" s="12">
        <v>46</v>
      </c>
      <c r="W23" s="12">
        <v>145</v>
      </c>
      <c r="X23" s="12">
        <v>62</v>
      </c>
      <c r="Y23" s="12">
        <v>43</v>
      </c>
      <c r="Z23" s="12">
        <v>20</v>
      </c>
      <c r="AA23" s="12">
        <v>76</v>
      </c>
      <c r="AB23" s="12">
        <v>63</v>
      </c>
      <c r="AC23" s="12">
        <v>25</v>
      </c>
      <c r="AD23" s="38">
        <v>70</v>
      </c>
    </row>
    <row r="24" spans="1:34" x14ac:dyDescent="0.25">
      <c r="A24" t="s">
        <v>219</v>
      </c>
      <c r="B24" s="8" t="s">
        <v>12</v>
      </c>
      <c r="C24" s="12">
        <v>6</v>
      </c>
      <c r="D24" s="12">
        <v>6</v>
      </c>
      <c r="E24" s="12">
        <v>6</v>
      </c>
      <c r="F24" s="12">
        <v>6</v>
      </c>
      <c r="G24" s="12">
        <v>6</v>
      </c>
      <c r="H24" s="12">
        <v>6</v>
      </c>
      <c r="I24" s="12">
        <v>6</v>
      </c>
      <c r="J24" s="12">
        <v>6</v>
      </c>
      <c r="K24" s="12">
        <v>6</v>
      </c>
      <c r="L24" s="12">
        <v>0.06</v>
      </c>
      <c r="M24" s="12">
        <v>0.06</v>
      </c>
      <c r="N24" s="12">
        <v>6</v>
      </c>
      <c r="O24" s="12">
        <v>0.06</v>
      </c>
      <c r="P24" s="18">
        <v>4</v>
      </c>
      <c r="Q24" s="12">
        <v>6</v>
      </c>
      <c r="R24" s="12">
        <v>6</v>
      </c>
      <c r="S24" s="12">
        <v>6</v>
      </c>
      <c r="T24" s="12">
        <v>4</v>
      </c>
      <c r="U24" s="12">
        <v>6</v>
      </c>
      <c r="V24" s="12">
        <v>6</v>
      </c>
      <c r="W24" s="12">
        <v>0.06</v>
      </c>
      <c r="X24" s="12">
        <v>6</v>
      </c>
      <c r="Y24" s="12">
        <v>200</v>
      </c>
      <c r="Z24" s="12">
        <v>6</v>
      </c>
      <c r="AA24" s="12">
        <v>6</v>
      </c>
      <c r="AB24" s="12">
        <v>0.06</v>
      </c>
      <c r="AC24" s="12">
        <v>12</v>
      </c>
      <c r="AD24" s="38">
        <v>6</v>
      </c>
    </row>
    <row r="25" spans="1:34" x14ac:dyDescent="0.25">
      <c r="A25" t="s">
        <v>221</v>
      </c>
      <c r="B25" s="9" t="s">
        <v>97</v>
      </c>
      <c r="C25" s="12">
        <f>IF(C24=6,1,0)</f>
        <v>1</v>
      </c>
      <c r="D25" s="12">
        <f t="shared" ref="D25:AA25" si="2">IF(D24=6,1,0)</f>
        <v>1</v>
      </c>
      <c r="E25" s="12">
        <f t="shared" si="2"/>
        <v>1</v>
      </c>
      <c r="F25" s="12">
        <f t="shared" si="2"/>
        <v>1</v>
      </c>
      <c r="G25" s="12">
        <f t="shared" si="2"/>
        <v>1</v>
      </c>
      <c r="H25" s="12">
        <f t="shared" si="2"/>
        <v>1</v>
      </c>
      <c r="I25" s="12">
        <f t="shared" si="2"/>
        <v>1</v>
      </c>
      <c r="J25" s="12">
        <f t="shared" si="2"/>
        <v>1</v>
      </c>
      <c r="K25" s="12">
        <f t="shared" si="2"/>
        <v>1</v>
      </c>
      <c r="L25" s="12">
        <v>1</v>
      </c>
      <c r="M25" s="12">
        <v>1</v>
      </c>
      <c r="N25" s="12">
        <f t="shared" si="2"/>
        <v>1</v>
      </c>
      <c r="O25" s="12">
        <v>1</v>
      </c>
      <c r="P25" s="12">
        <f t="shared" si="2"/>
        <v>0</v>
      </c>
      <c r="Q25" s="12">
        <f t="shared" si="2"/>
        <v>1</v>
      </c>
      <c r="R25" s="12">
        <f t="shared" si="2"/>
        <v>1</v>
      </c>
      <c r="S25" s="12">
        <f t="shared" si="2"/>
        <v>1</v>
      </c>
      <c r="T25" s="12">
        <f t="shared" si="2"/>
        <v>0</v>
      </c>
      <c r="U25" s="12">
        <f t="shared" si="2"/>
        <v>1</v>
      </c>
      <c r="V25" s="12">
        <f t="shared" si="2"/>
        <v>1</v>
      </c>
      <c r="W25" s="12">
        <v>1</v>
      </c>
      <c r="X25" s="12">
        <f t="shared" si="2"/>
        <v>1</v>
      </c>
      <c r="Y25" s="12">
        <f t="shared" si="2"/>
        <v>0</v>
      </c>
      <c r="Z25" s="12">
        <f t="shared" si="2"/>
        <v>1</v>
      </c>
      <c r="AA25" s="12">
        <f t="shared" si="2"/>
        <v>1</v>
      </c>
      <c r="AB25" s="12">
        <v>1</v>
      </c>
      <c r="AC25" s="12">
        <v>1</v>
      </c>
      <c r="AD25" s="35">
        <v>1</v>
      </c>
      <c r="AE25" s="35">
        <v>1</v>
      </c>
      <c r="AF25" s="35">
        <v>1</v>
      </c>
      <c r="AG25" s="35">
        <v>1</v>
      </c>
    </row>
    <row r="26" spans="1:34" x14ac:dyDescent="0.25">
      <c r="A26" t="s">
        <v>222</v>
      </c>
      <c r="B26" s="9" t="s">
        <v>146</v>
      </c>
      <c r="C26" s="12">
        <v>8</v>
      </c>
      <c r="D26" s="12">
        <v>8</v>
      </c>
      <c r="E26" s="12">
        <v>9</v>
      </c>
      <c r="F26" s="12">
        <v>23</v>
      </c>
      <c r="G26" s="12">
        <v>9</v>
      </c>
      <c r="H26" s="12">
        <v>5</v>
      </c>
      <c r="I26" s="12">
        <v>51</v>
      </c>
      <c r="J26" s="12">
        <v>10</v>
      </c>
      <c r="K26" s="12">
        <v>13</v>
      </c>
      <c r="L26" s="12">
        <v>102</v>
      </c>
      <c r="M26" s="12">
        <v>13</v>
      </c>
      <c r="N26" s="12">
        <v>4</v>
      </c>
      <c r="O26" s="12">
        <v>22</v>
      </c>
      <c r="P26" s="12">
        <v>6</v>
      </c>
      <c r="Q26" s="12">
        <v>13</v>
      </c>
      <c r="R26" s="12">
        <v>6</v>
      </c>
      <c r="S26" s="12">
        <v>16</v>
      </c>
      <c r="T26" s="12">
        <v>5</v>
      </c>
      <c r="U26" s="12">
        <v>9</v>
      </c>
      <c r="V26" s="12">
        <v>8</v>
      </c>
      <c r="W26" s="12">
        <v>28</v>
      </c>
      <c r="X26" s="12">
        <v>23</v>
      </c>
      <c r="Y26" s="12">
        <v>23</v>
      </c>
      <c r="Z26" s="12">
        <v>5</v>
      </c>
      <c r="AA26" s="12">
        <v>17</v>
      </c>
      <c r="AB26" s="12">
        <v>23</v>
      </c>
      <c r="AC26" s="12">
        <v>20</v>
      </c>
      <c r="AD26" s="38">
        <v>24</v>
      </c>
    </row>
    <row r="27" spans="1:34" x14ac:dyDescent="0.25">
      <c r="A27" t="s">
        <v>225</v>
      </c>
      <c r="B27" s="8" t="s">
        <v>13</v>
      </c>
      <c r="C27" s="12">
        <v>2000</v>
      </c>
      <c r="D27" s="12">
        <v>2000</v>
      </c>
      <c r="E27" s="12">
        <v>2000</v>
      </c>
      <c r="F27" s="12">
        <v>2000</v>
      </c>
      <c r="G27" s="12">
        <v>2000</v>
      </c>
      <c r="H27" s="12">
        <v>2000</v>
      </c>
      <c r="I27" s="12">
        <v>2000</v>
      </c>
      <c r="J27" s="12">
        <v>2000</v>
      </c>
      <c r="K27" s="12">
        <v>2000</v>
      </c>
      <c r="L27" s="12">
        <v>2000</v>
      </c>
      <c r="M27" s="12">
        <v>2000</v>
      </c>
      <c r="N27" s="12">
        <v>2000</v>
      </c>
      <c r="O27" s="12">
        <v>2000</v>
      </c>
      <c r="P27" s="18">
        <v>8</v>
      </c>
      <c r="Q27" s="12">
        <v>2000</v>
      </c>
      <c r="R27" s="12">
        <v>2000</v>
      </c>
      <c r="S27" s="12">
        <v>2000</v>
      </c>
      <c r="T27" s="12">
        <v>1000</v>
      </c>
      <c r="U27" s="12">
        <v>2000</v>
      </c>
      <c r="V27" s="12">
        <v>2000</v>
      </c>
      <c r="W27" s="12">
        <v>2000</v>
      </c>
      <c r="X27" s="12">
        <v>2000</v>
      </c>
      <c r="Y27" s="12">
        <v>6</v>
      </c>
      <c r="Z27" s="12">
        <v>2000</v>
      </c>
      <c r="AA27" s="12">
        <v>2000</v>
      </c>
      <c r="AB27" s="12">
        <v>2000</v>
      </c>
      <c r="AC27" s="12">
        <v>1000</v>
      </c>
      <c r="AD27" s="38">
        <v>2000</v>
      </c>
    </row>
    <row r="28" spans="1:34" x14ac:dyDescent="0.25">
      <c r="A28" t="s">
        <v>229</v>
      </c>
      <c r="B28" s="9" t="s">
        <v>98</v>
      </c>
      <c r="C28" s="12">
        <f>IF(C27=2000,1,0)</f>
        <v>1</v>
      </c>
      <c r="D28" s="12">
        <f t="shared" ref="D28:AG28" si="3">IF(D27=2000,1,0)</f>
        <v>1</v>
      </c>
      <c r="E28" s="12">
        <f t="shared" si="3"/>
        <v>1</v>
      </c>
      <c r="F28" s="12">
        <f t="shared" si="3"/>
        <v>1</v>
      </c>
      <c r="G28" s="12">
        <f t="shared" si="3"/>
        <v>1</v>
      </c>
      <c r="H28" s="12">
        <f t="shared" si="3"/>
        <v>1</v>
      </c>
      <c r="I28" s="12">
        <f t="shared" si="3"/>
        <v>1</v>
      </c>
      <c r="J28" s="12">
        <f t="shared" si="3"/>
        <v>1</v>
      </c>
      <c r="K28" s="12">
        <f t="shared" si="3"/>
        <v>1</v>
      </c>
      <c r="L28" s="12">
        <f t="shared" si="3"/>
        <v>1</v>
      </c>
      <c r="M28" s="12">
        <f t="shared" si="3"/>
        <v>1</v>
      </c>
      <c r="N28" s="12">
        <f t="shared" si="3"/>
        <v>1</v>
      </c>
      <c r="O28" s="12">
        <f t="shared" si="3"/>
        <v>1</v>
      </c>
      <c r="P28" s="12">
        <f t="shared" si="3"/>
        <v>0</v>
      </c>
      <c r="Q28" s="12">
        <f t="shared" si="3"/>
        <v>1</v>
      </c>
      <c r="R28" s="12">
        <f t="shared" si="3"/>
        <v>1</v>
      </c>
      <c r="S28" s="12">
        <f t="shared" si="3"/>
        <v>1</v>
      </c>
      <c r="T28" s="12">
        <f t="shared" si="3"/>
        <v>0</v>
      </c>
      <c r="U28" s="12">
        <f t="shared" si="3"/>
        <v>1</v>
      </c>
      <c r="V28" s="12">
        <f t="shared" si="3"/>
        <v>1</v>
      </c>
      <c r="W28" s="12">
        <f t="shared" si="3"/>
        <v>1</v>
      </c>
      <c r="X28" s="12">
        <f t="shared" si="3"/>
        <v>1</v>
      </c>
      <c r="Y28" s="12">
        <f t="shared" si="3"/>
        <v>0</v>
      </c>
      <c r="Z28" s="12">
        <f t="shared" si="3"/>
        <v>1</v>
      </c>
      <c r="AA28" s="12">
        <f t="shared" si="3"/>
        <v>1</v>
      </c>
      <c r="AB28" s="12">
        <f t="shared" si="3"/>
        <v>1</v>
      </c>
      <c r="AC28" s="12">
        <f t="shared" si="3"/>
        <v>0</v>
      </c>
      <c r="AD28" s="35">
        <f t="shared" si="3"/>
        <v>1</v>
      </c>
      <c r="AE28" s="35">
        <f t="shared" si="3"/>
        <v>0</v>
      </c>
      <c r="AF28" s="35">
        <f t="shared" si="3"/>
        <v>0</v>
      </c>
      <c r="AG28" s="35">
        <f t="shared" si="3"/>
        <v>0</v>
      </c>
    </row>
    <row r="29" spans="1:34" x14ac:dyDescent="0.25">
      <c r="A29" t="s">
        <v>230</v>
      </c>
      <c r="B29" s="9" t="s">
        <v>147</v>
      </c>
      <c r="C29" s="12">
        <v>8</v>
      </c>
      <c r="D29" s="12">
        <v>10</v>
      </c>
      <c r="E29" s="12">
        <v>8</v>
      </c>
      <c r="F29" s="12">
        <v>15</v>
      </c>
      <c r="G29" s="12">
        <v>13</v>
      </c>
      <c r="H29" s="12">
        <v>12</v>
      </c>
      <c r="I29" s="12">
        <v>29</v>
      </c>
      <c r="J29" s="12">
        <v>49</v>
      </c>
      <c r="K29" s="12">
        <v>32</v>
      </c>
      <c r="L29" s="12">
        <v>13</v>
      </c>
      <c r="M29" s="12">
        <v>7</v>
      </c>
      <c r="N29" s="12">
        <v>7</v>
      </c>
      <c r="O29" s="12">
        <v>5</v>
      </c>
      <c r="P29" s="12">
        <v>4</v>
      </c>
      <c r="Q29" s="12">
        <v>36</v>
      </c>
      <c r="R29" s="12">
        <v>17</v>
      </c>
      <c r="S29" s="12">
        <v>9</v>
      </c>
      <c r="T29" s="12">
        <v>20</v>
      </c>
      <c r="U29" s="12">
        <v>7</v>
      </c>
      <c r="V29" s="12">
        <v>14</v>
      </c>
      <c r="W29" s="12">
        <v>13</v>
      </c>
      <c r="X29" s="12">
        <v>21</v>
      </c>
      <c r="Y29" s="12">
        <v>7</v>
      </c>
      <c r="Z29" s="12">
        <v>12</v>
      </c>
      <c r="AA29" s="12">
        <v>10</v>
      </c>
      <c r="AB29" s="12">
        <v>16</v>
      </c>
      <c r="AC29" s="12">
        <v>19</v>
      </c>
      <c r="AD29" s="38">
        <v>16</v>
      </c>
    </row>
    <row r="30" spans="1:34" x14ac:dyDescent="0.25">
      <c r="A30" t="s">
        <v>231</v>
      </c>
      <c r="B30" s="8" t="s">
        <v>15</v>
      </c>
      <c r="C30" s="12">
        <v>2524.9499999999998</v>
      </c>
      <c r="D30" s="12">
        <v>2524.9499999999998</v>
      </c>
      <c r="E30" s="12">
        <v>2524.9499999999998</v>
      </c>
      <c r="F30" s="12">
        <v>2500</v>
      </c>
      <c r="G30" s="12">
        <v>2524.9499999999998</v>
      </c>
      <c r="H30" s="12">
        <v>2524.9499999999998</v>
      </c>
      <c r="I30" s="12">
        <v>2524.9499999999998</v>
      </c>
      <c r="J30" s="12">
        <v>2524.9499999999998</v>
      </c>
      <c r="K30" s="12">
        <v>2500</v>
      </c>
      <c r="L30" s="12">
        <v>8480</v>
      </c>
      <c r="M30" s="12">
        <v>2524.9499999999998</v>
      </c>
      <c r="N30" s="12">
        <v>2524.9499999999998</v>
      </c>
      <c r="O30" s="12">
        <v>2524.9499999999998</v>
      </c>
      <c r="P30" s="18">
        <v>2524.9499999999998</v>
      </c>
      <c r="Q30" s="12">
        <v>2524.9499999999998</v>
      </c>
      <c r="R30" s="12">
        <v>2500</v>
      </c>
      <c r="S30" s="12">
        <v>2500</v>
      </c>
      <c r="T30" s="12">
        <v>2454.9499999999998</v>
      </c>
      <c r="U30" s="12">
        <v>2500</v>
      </c>
      <c r="V30" s="12">
        <v>2524.9499999999998</v>
      </c>
      <c r="W30" s="12">
        <v>2524.9499999999998</v>
      </c>
      <c r="X30" s="12">
        <v>2524.9499999999998</v>
      </c>
      <c r="Y30" s="12">
        <v>2938</v>
      </c>
      <c r="Z30" s="12">
        <v>2621.59</v>
      </c>
      <c r="AA30" s="12">
        <v>2500</v>
      </c>
      <c r="AB30" s="12">
        <v>2480</v>
      </c>
      <c r="AC30" s="12">
        <v>2200</v>
      </c>
      <c r="AD30" s="38">
        <v>2524.9499999999998</v>
      </c>
    </row>
    <row r="31" spans="1:34" x14ac:dyDescent="0.25">
      <c r="A31" t="s">
        <v>233</v>
      </c>
      <c r="B31" s="9" t="s">
        <v>100</v>
      </c>
      <c r="C31" s="12">
        <f>IF(C30=2524.95,1,0)</f>
        <v>1</v>
      </c>
      <c r="D31" s="12">
        <f t="shared" ref="D31:AG31" si="4">IF(D30=2524.95,1,0)</f>
        <v>1</v>
      </c>
      <c r="E31" s="12">
        <f t="shared" si="4"/>
        <v>1</v>
      </c>
      <c r="F31" s="12">
        <f t="shared" si="4"/>
        <v>0</v>
      </c>
      <c r="G31" s="12">
        <f t="shared" si="4"/>
        <v>1</v>
      </c>
      <c r="H31" s="12">
        <f t="shared" si="4"/>
        <v>1</v>
      </c>
      <c r="I31" s="12">
        <f t="shared" si="4"/>
        <v>1</v>
      </c>
      <c r="J31" s="12">
        <f t="shared" si="4"/>
        <v>1</v>
      </c>
      <c r="K31" s="12">
        <f t="shared" si="4"/>
        <v>0</v>
      </c>
      <c r="L31" s="12">
        <f t="shared" si="4"/>
        <v>0</v>
      </c>
      <c r="M31" s="12">
        <f t="shared" si="4"/>
        <v>1</v>
      </c>
      <c r="N31" s="12">
        <f t="shared" si="4"/>
        <v>1</v>
      </c>
      <c r="O31" s="12">
        <f t="shared" si="4"/>
        <v>1</v>
      </c>
      <c r="P31" s="12">
        <f t="shared" si="4"/>
        <v>1</v>
      </c>
      <c r="Q31" s="12">
        <f t="shared" si="4"/>
        <v>1</v>
      </c>
      <c r="R31" s="12">
        <f t="shared" si="4"/>
        <v>0</v>
      </c>
      <c r="S31" s="12">
        <f t="shared" si="4"/>
        <v>0</v>
      </c>
      <c r="T31" s="12">
        <f t="shared" si="4"/>
        <v>0</v>
      </c>
      <c r="U31" s="12">
        <f t="shared" si="4"/>
        <v>0</v>
      </c>
      <c r="V31" s="12">
        <f t="shared" si="4"/>
        <v>1</v>
      </c>
      <c r="W31" s="12">
        <f t="shared" si="4"/>
        <v>1</v>
      </c>
      <c r="X31" s="12">
        <f t="shared" si="4"/>
        <v>1</v>
      </c>
      <c r="Y31" s="12">
        <f t="shared" si="4"/>
        <v>0</v>
      </c>
      <c r="Z31" s="12">
        <f t="shared" si="4"/>
        <v>0</v>
      </c>
      <c r="AA31" s="12">
        <f t="shared" si="4"/>
        <v>0</v>
      </c>
      <c r="AB31" s="12">
        <f t="shared" si="4"/>
        <v>0</v>
      </c>
      <c r="AC31" s="12">
        <f t="shared" si="4"/>
        <v>0</v>
      </c>
      <c r="AD31" s="35">
        <f t="shared" si="4"/>
        <v>1</v>
      </c>
      <c r="AE31" s="35">
        <f t="shared" si="4"/>
        <v>0</v>
      </c>
      <c r="AF31" s="35">
        <f t="shared" si="4"/>
        <v>0</v>
      </c>
      <c r="AG31" s="35">
        <f t="shared" si="4"/>
        <v>0</v>
      </c>
    </row>
    <row r="32" spans="1:34" x14ac:dyDescent="0.25">
      <c r="A32" t="s">
        <v>234</v>
      </c>
      <c r="B32" s="9" t="s">
        <v>149</v>
      </c>
      <c r="C32" s="12">
        <v>128</v>
      </c>
      <c r="D32" s="12">
        <v>56</v>
      </c>
      <c r="E32" s="12">
        <v>17</v>
      </c>
      <c r="F32" s="12">
        <v>9</v>
      </c>
      <c r="G32" s="12">
        <v>117</v>
      </c>
      <c r="H32" s="12">
        <v>46</v>
      </c>
      <c r="I32" s="12">
        <v>269</v>
      </c>
      <c r="J32" s="12">
        <v>290</v>
      </c>
      <c r="K32" s="12">
        <v>104</v>
      </c>
      <c r="L32" s="12">
        <v>276</v>
      </c>
      <c r="M32" s="12">
        <v>104</v>
      </c>
      <c r="N32" s="12">
        <v>34</v>
      </c>
      <c r="O32" s="12">
        <v>28</v>
      </c>
      <c r="P32" s="12">
        <v>124</v>
      </c>
      <c r="Q32" s="12">
        <v>11</v>
      </c>
      <c r="R32" s="12">
        <v>15</v>
      </c>
      <c r="S32" s="12">
        <v>6</v>
      </c>
      <c r="T32" s="12">
        <v>27</v>
      </c>
      <c r="U32" s="12">
        <v>7</v>
      </c>
      <c r="V32" s="12">
        <v>153</v>
      </c>
      <c r="W32" s="12">
        <v>18</v>
      </c>
      <c r="X32" s="12">
        <v>66</v>
      </c>
      <c r="Y32" s="12">
        <v>213</v>
      </c>
      <c r="Z32" s="12">
        <v>149</v>
      </c>
      <c r="AA32" s="12">
        <v>5</v>
      </c>
      <c r="AB32" s="12">
        <v>66</v>
      </c>
      <c r="AC32" s="12">
        <v>40</v>
      </c>
      <c r="AD32" s="38">
        <v>66</v>
      </c>
    </row>
    <row r="33" spans="1:33" x14ac:dyDescent="0.25">
      <c r="A33" t="s">
        <v>236</v>
      </c>
      <c r="B33" s="8" t="s">
        <v>14</v>
      </c>
      <c r="C33" s="12">
        <v>1980.23</v>
      </c>
      <c r="D33" s="12">
        <v>1980.23</v>
      </c>
      <c r="E33" s="12">
        <v>1980.23</v>
      </c>
      <c r="F33" s="12">
        <v>625</v>
      </c>
      <c r="G33" s="12">
        <v>1980.23</v>
      </c>
      <c r="H33" s="12">
        <v>1980.23</v>
      </c>
      <c r="I33" s="12">
        <v>2000</v>
      </c>
      <c r="J33" s="12">
        <v>1984.13</v>
      </c>
      <c r="K33" s="12">
        <v>1980.23</v>
      </c>
      <c r="L33" s="12">
        <v>1980.2</v>
      </c>
      <c r="M33" s="12">
        <v>2011.78</v>
      </c>
      <c r="N33" s="12">
        <v>1980.23</v>
      </c>
      <c r="O33" s="12">
        <v>1980.23</v>
      </c>
      <c r="P33" s="18">
        <v>2000</v>
      </c>
      <c r="Q33" s="12">
        <v>2500</v>
      </c>
      <c r="R33" s="12">
        <v>2525</v>
      </c>
      <c r="S33" s="12">
        <v>56000</v>
      </c>
      <c r="T33" s="12">
        <v>1980.23</v>
      </c>
      <c r="U33" s="12">
        <v>1980.23</v>
      </c>
      <c r="V33" s="12">
        <v>1980.25</v>
      </c>
      <c r="W33" s="12">
        <v>1980.23</v>
      </c>
      <c r="X33" s="12">
        <v>1980.23</v>
      </c>
      <c r="Y33" s="12">
        <v>1900</v>
      </c>
      <c r="Z33" s="12">
        <v>1980.23</v>
      </c>
      <c r="AA33" s="12">
        <v>1980.23</v>
      </c>
      <c r="AB33" s="12">
        <v>589.62</v>
      </c>
      <c r="AC33" s="12">
        <v>700</v>
      </c>
      <c r="AD33" s="38">
        <v>1980.23</v>
      </c>
    </row>
    <row r="34" spans="1:33" x14ac:dyDescent="0.25">
      <c r="A34" t="s">
        <v>237</v>
      </c>
      <c r="B34" s="9" t="s">
        <v>99</v>
      </c>
      <c r="C34" s="12">
        <f>IF(C33=1980.23,1,0)</f>
        <v>1</v>
      </c>
      <c r="D34" s="12">
        <f t="shared" ref="D34:AG34" si="5">IF(D33=1980.23,1,0)</f>
        <v>1</v>
      </c>
      <c r="E34" s="12">
        <f t="shared" si="5"/>
        <v>1</v>
      </c>
      <c r="F34" s="12">
        <f t="shared" si="5"/>
        <v>0</v>
      </c>
      <c r="G34" s="12">
        <f t="shared" si="5"/>
        <v>1</v>
      </c>
      <c r="H34" s="12">
        <f t="shared" si="5"/>
        <v>1</v>
      </c>
      <c r="I34" s="12">
        <f t="shared" si="5"/>
        <v>0</v>
      </c>
      <c r="J34" s="12">
        <f t="shared" si="5"/>
        <v>0</v>
      </c>
      <c r="K34" s="12">
        <f t="shared" si="5"/>
        <v>1</v>
      </c>
      <c r="L34" s="12">
        <v>1</v>
      </c>
      <c r="M34" s="12">
        <f t="shared" si="5"/>
        <v>0</v>
      </c>
      <c r="N34" s="12">
        <f t="shared" si="5"/>
        <v>1</v>
      </c>
      <c r="O34" s="12">
        <f t="shared" si="5"/>
        <v>1</v>
      </c>
      <c r="P34" s="12">
        <f t="shared" si="5"/>
        <v>0</v>
      </c>
      <c r="Q34" s="12">
        <f t="shared" si="5"/>
        <v>0</v>
      </c>
      <c r="R34" s="12">
        <f t="shared" si="5"/>
        <v>0</v>
      </c>
      <c r="S34" s="12">
        <f t="shared" si="5"/>
        <v>0</v>
      </c>
      <c r="T34" s="12">
        <f t="shared" si="5"/>
        <v>1</v>
      </c>
      <c r="U34" s="12">
        <f t="shared" si="5"/>
        <v>1</v>
      </c>
      <c r="V34" s="12">
        <v>1</v>
      </c>
      <c r="W34" s="12">
        <f t="shared" si="5"/>
        <v>1</v>
      </c>
      <c r="X34" s="12">
        <f t="shared" si="5"/>
        <v>1</v>
      </c>
      <c r="Y34" s="12">
        <f t="shared" si="5"/>
        <v>0</v>
      </c>
      <c r="Z34" s="12">
        <f t="shared" si="5"/>
        <v>1</v>
      </c>
      <c r="AA34" s="12">
        <f t="shared" si="5"/>
        <v>1</v>
      </c>
      <c r="AB34" s="12">
        <f t="shared" si="5"/>
        <v>0</v>
      </c>
      <c r="AC34" s="12">
        <f t="shared" si="5"/>
        <v>0</v>
      </c>
      <c r="AD34" s="35">
        <f t="shared" si="5"/>
        <v>1</v>
      </c>
      <c r="AE34" s="35">
        <f t="shared" si="5"/>
        <v>0</v>
      </c>
      <c r="AF34" s="35">
        <f t="shared" si="5"/>
        <v>0</v>
      </c>
      <c r="AG34" s="35">
        <f t="shared" si="5"/>
        <v>0</v>
      </c>
    </row>
    <row r="35" spans="1:33" x14ac:dyDescent="0.25">
      <c r="A35" t="s">
        <v>238</v>
      </c>
      <c r="B35" s="9" t="s">
        <v>148</v>
      </c>
      <c r="C35" s="12">
        <v>39</v>
      </c>
      <c r="D35" s="12">
        <v>26</v>
      </c>
      <c r="E35" s="12">
        <v>32</v>
      </c>
      <c r="F35" s="12">
        <v>39</v>
      </c>
      <c r="G35" s="12">
        <v>168</v>
      </c>
      <c r="H35" s="12">
        <v>31</v>
      </c>
      <c r="I35" s="12">
        <v>210</v>
      </c>
      <c r="J35" s="12">
        <v>127</v>
      </c>
      <c r="K35" s="12">
        <v>400</v>
      </c>
      <c r="L35" s="12">
        <v>303</v>
      </c>
      <c r="M35" s="12">
        <v>41</v>
      </c>
      <c r="N35" s="12">
        <v>20</v>
      </c>
      <c r="O35" s="12">
        <v>30</v>
      </c>
      <c r="P35" s="12">
        <v>24</v>
      </c>
      <c r="Q35" s="12">
        <v>18</v>
      </c>
      <c r="R35" s="12">
        <v>86</v>
      </c>
      <c r="S35" s="12">
        <v>197</v>
      </c>
      <c r="T35" s="12">
        <v>85</v>
      </c>
      <c r="U35" s="12">
        <v>52</v>
      </c>
      <c r="V35" s="12">
        <v>148</v>
      </c>
      <c r="W35" s="12">
        <v>22</v>
      </c>
      <c r="X35" s="12">
        <v>95</v>
      </c>
      <c r="Y35" s="12">
        <v>33</v>
      </c>
      <c r="Z35" s="12">
        <v>98</v>
      </c>
      <c r="AA35" s="12">
        <v>27</v>
      </c>
      <c r="AB35" s="12">
        <v>150</v>
      </c>
      <c r="AC35" s="12">
        <v>24</v>
      </c>
      <c r="AD35" s="38">
        <v>79</v>
      </c>
    </row>
    <row r="36" spans="1:33" x14ac:dyDescent="0.25">
      <c r="A36" t="s">
        <v>241</v>
      </c>
      <c r="B36" s="8" t="s">
        <v>16</v>
      </c>
      <c r="C36" s="12">
        <v>1</v>
      </c>
      <c r="D36" s="12">
        <v>0</v>
      </c>
      <c r="E36" s="12">
        <v>1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1</v>
      </c>
      <c r="N36" s="12">
        <v>1</v>
      </c>
      <c r="O36" s="12">
        <v>1</v>
      </c>
      <c r="P36" s="18">
        <v>0</v>
      </c>
      <c r="Q36" s="12">
        <v>1</v>
      </c>
      <c r="R36" s="12">
        <v>0</v>
      </c>
      <c r="S36" s="12">
        <v>1</v>
      </c>
      <c r="T36" s="12">
        <v>1</v>
      </c>
      <c r="U36" s="12">
        <v>1</v>
      </c>
      <c r="V36" s="12">
        <v>1</v>
      </c>
      <c r="W36" s="12">
        <v>1</v>
      </c>
      <c r="X36" s="12">
        <v>1</v>
      </c>
      <c r="Y36" s="12">
        <v>1</v>
      </c>
      <c r="Z36" s="12">
        <v>0</v>
      </c>
      <c r="AA36" s="12">
        <v>0</v>
      </c>
      <c r="AB36" s="12">
        <v>0</v>
      </c>
      <c r="AC36" s="12">
        <v>0</v>
      </c>
      <c r="AD36" s="38">
        <v>1</v>
      </c>
    </row>
    <row r="37" spans="1:33" x14ac:dyDescent="0.25">
      <c r="A37" t="s">
        <v>246</v>
      </c>
      <c r="B37" s="9" t="s">
        <v>101</v>
      </c>
      <c r="C37" s="12">
        <f>IF(C36=1,1,0)</f>
        <v>1</v>
      </c>
      <c r="D37" s="12">
        <f t="shared" ref="D37:AG37" si="6">IF(D36=1,1,0)</f>
        <v>0</v>
      </c>
      <c r="E37" s="12">
        <f t="shared" si="6"/>
        <v>1</v>
      </c>
      <c r="F37" s="12">
        <f t="shared" si="6"/>
        <v>0</v>
      </c>
      <c r="G37" s="12">
        <f t="shared" si="6"/>
        <v>0</v>
      </c>
      <c r="H37" s="12">
        <f t="shared" si="6"/>
        <v>0</v>
      </c>
      <c r="I37" s="12">
        <f t="shared" si="6"/>
        <v>0</v>
      </c>
      <c r="J37" s="12">
        <f t="shared" si="6"/>
        <v>0</v>
      </c>
      <c r="K37" s="12">
        <f t="shared" si="6"/>
        <v>0</v>
      </c>
      <c r="L37" s="12">
        <f t="shared" si="6"/>
        <v>0</v>
      </c>
      <c r="M37" s="12">
        <f t="shared" si="6"/>
        <v>1</v>
      </c>
      <c r="N37" s="12">
        <f t="shared" si="6"/>
        <v>1</v>
      </c>
      <c r="O37" s="12">
        <f t="shared" si="6"/>
        <v>1</v>
      </c>
      <c r="P37" s="12">
        <f t="shared" si="6"/>
        <v>0</v>
      </c>
      <c r="Q37" s="12">
        <f t="shared" si="6"/>
        <v>1</v>
      </c>
      <c r="R37" s="12">
        <f t="shared" si="6"/>
        <v>0</v>
      </c>
      <c r="S37" s="12">
        <f t="shared" si="6"/>
        <v>1</v>
      </c>
      <c r="T37" s="12">
        <f t="shared" si="6"/>
        <v>1</v>
      </c>
      <c r="U37" s="12">
        <f t="shared" si="6"/>
        <v>1</v>
      </c>
      <c r="V37" s="12">
        <f t="shared" si="6"/>
        <v>1</v>
      </c>
      <c r="W37" s="12">
        <f t="shared" si="6"/>
        <v>1</v>
      </c>
      <c r="X37" s="12">
        <f t="shared" si="6"/>
        <v>1</v>
      </c>
      <c r="Y37" s="12">
        <f t="shared" si="6"/>
        <v>1</v>
      </c>
      <c r="Z37" s="12">
        <f t="shared" si="6"/>
        <v>0</v>
      </c>
      <c r="AA37" s="12">
        <f t="shared" si="6"/>
        <v>0</v>
      </c>
      <c r="AB37" s="12">
        <f t="shared" si="6"/>
        <v>0</v>
      </c>
      <c r="AC37" s="12">
        <f t="shared" si="6"/>
        <v>0</v>
      </c>
      <c r="AD37" s="35">
        <f t="shared" si="6"/>
        <v>1</v>
      </c>
      <c r="AE37" s="35">
        <f t="shared" si="6"/>
        <v>0</v>
      </c>
      <c r="AF37" s="35">
        <f t="shared" si="6"/>
        <v>0</v>
      </c>
      <c r="AG37" s="35">
        <f t="shared" si="6"/>
        <v>0</v>
      </c>
    </row>
    <row r="38" spans="1:33" x14ac:dyDescent="0.25">
      <c r="A38" t="s">
        <v>248</v>
      </c>
      <c r="B38" s="9" t="s">
        <v>150</v>
      </c>
      <c r="C38" s="12">
        <v>11</v>
      </c>
      <c r="D38" s="12">
        <v>15</v>
      </c>
      <c r="E38" s="12">
        <v>12</v>
      </c>
      <c r="F38" s="12">
        <v>24</v>
      </c>
      <c r="G38" s="12">
        <v>42</v>
      </c>
      <c r="H38" s="12">
        <v>31</v>
      </c>
      <c r="I38" s="12">
        <v>6</v>
      </c>
      <c r="J38" s="12">
        <v>49</v>
      </c>
      <c r="K38" s="12">
        <v>23</v>
      </c>
      <c r="L38" s="12">
        <v>24</v>
      </c>
      <c r="M38" s="12">
        <v>10</v>
      </c>
      <c r="N38" s="12">
        <v>7</v>
      </c>
      <c r="O38" s="12">
        <v>21</v>
      </c>
      <c r="P38" s="12">
        <v>13</v>
      </c>
      <c r="Q38" s="12">
        <v>5</v>
      </c>
      <c r="R38" s="12">
        <v>6</v>
      </c>
      <c r="S38" s="12">
        <v>9</v>
      </c>
      <c r="T38" s="12">
        <v>18</v>
      </c>
      <c r="U38" s="12">
        <v>28</v>
      </c>
      <c r="V38" s="12">
        <v>13</v>
      </c>
      <c r="W38" s="12">
        <v>9</v>
      </c>
      <c r="X38" s="12">
        <v>38</v>
      </c>
      <c r="Y38" s="12">
        <v>32</v>
      </c>
      <c r="Z38" s="12">
        <v>27</v>
      </c>
      <c r="AA38" s="12">
        <v>15</v>
      </c>
      <c r="AB38" s="12">
        <v>8</v>
      </c>
      <c r="AC38" s="12">
        <v>7</v>
      </c>
      <c r="AD38" s="38">
        <v>100</v>
      </c>
    </row>
    <row r="39" spans="1:33" x14ac:dyDescent="0.25">
      <c r="A39" t="s">
        <v>250</v>
      </c>
      <c r="B39" s="8" t="s">
        <v>17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8">
        <v>2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2</v>
      </c>
      <c r="AD39" s="38">
        <v>0</v>
      </c>
    </row>
    <row r="40" spans="1:33" x14ac:dyDescent="0.25">
      <c r="A40" t="s">
        <v>252</v>
      </c>
      <c r="B40" s="9" t="s">
        <v>102</v>
      </c>
      <c r="C40" s="12">
        <f>IF(C39=0,1,0)</f>
        <v>1</v>
      </c>
      <c r="D40" s="12">
        <f t="shared" ref="D40:AG40" si="7">IF(D39=0,1,0)</f>
        <v>1</v>
      </c>
      <c r="E40" s="12">
        <f t="shared" si="7"/>
        <v>1</v>
      </c>
      <c r="F40" s="12">
        <f t="shared" si="7"/>
        <v>1</v>
      </c>
      <c r="G40" s="12">
        <f t="shared" si="7"/>
        <v>1</v>
      </c>
      <c r="H40" s="12">
        <f t="shared" si="7"/>
        <v>1</v>
      </c>
      <c r="I40" s="12">
        <f t="shared" si="7"/>
        <v>1</v>
      </c>
      <c r="J40" s="12">
        <f t="shared" si="7"/>
        <v>1</v>
      </c>
      <c r="K40" s="12">
        <f t="shared" si="7"/>
        <v>1</v>
      </c>
      <c r="L40" s="12">
        <f t="shared" si="7"/>
        <v>1</v>
      </c>
      <c r="M40" s="12">
        <f t="shared" si="7"/>
        <v>1</v>
      </c>
      <c r="N40" s="12">
        <f t="shared" si="7"/>
        <v>1</v>
      </c>
      <c r="O40" s="12">
        <f t="shared" si="7"/>
        <v>1</v>
      </c>
      <c r="P40" s="12">
        <f t="shared" si="7"/>
        <v>0</v>
      </c>
      <c r="Q40" s="12">
        <f t="shared" si="7"/>
        <v>1</v>
      </c>
      <c r="R40" s="12">
        <f t="shared" si="7"/>
        <v>1</v>
      </c>
      <c r="S40" s="12">
        <f t="shared" si="7"/>
        <v>1</v>
      </c>
      <c r="T40" s="12">
        <f t="shared" si="7"/>
        <v>1</v>
      </c>
      <c r="U40" s="12">
        <f t="shared" si="7"/>
        <v>1</v>
      </c>
      <c r="V40" s="12">
        <f t="shared" si="7"/>
        <v>1</v>
      </c>
      <c r="W40" s="12">
        <f t="shared" si="7"/>
        <v>1</v>
      </c>
      <c r="X40" s="12">
        <f t="shared" si="7"/>
        <v>1</v>
      </c>
      <c r="Y40" s="12">
        <f t="shared" si="7"/>
        <v>1</v>
      </c>
      <c r="Z40" s="12">
        <f t="shared" si="7"/>
        <v>1</v>
      </c>
      <c r="AA40" s="12">
        <f t="shared" si="7"/>
        <v>1</v>
      </c>
      <c r="AB40" s="12">
        <f t="shared" si="7"/>
        <v>1</v>
      </c>
      <c r="AC40" s="12">
        <f t="shared" si="7"/>
        <v>0</v>
      </c>
      <c r="AD40" s="35">
        <f t="shared" si="7"/>
        <v>1</v>
      </c>
      <c r="AE40" s="35">
        <f t="shared" si="7"/>
        <v>1</v>
      </c>
      <c r="AF40" s="35">
        <f t="shared" si="7"/>
        <v>1</v>
      </c>
      <c r="AG40" s="35">
        <f t="shared" si="7"/>
        <v>1</v>
      </c>
    </row>
    <row r="41" spans="1:33" x14ac:dyDescent="0.25">
      <c r="A41" t="s">
        <v>253</v>
      </c>
      <c r="B41" s="9" t="s">
        <v>153</v>
      </c>
      <c r="C41" s="12">
        <v>12</v>
      </c>
      <c r="D41" s="12">
        <v>28</v>
      </c>
      <c r="E41" s="12">
        <v>13</v>
      </c>
      <c r="F41" s="12">
        <v>63</v>
      </c>
      <c r="G41" s="12">
        <v>33</v>
      </c>
      <c r="H41" s="12">
        <v>35</v>
      </c>
      <c r="I41" s="12">
        <v>26</v>
      </c>
      <c r="J41" s="12">
        <v>66</v>
      </c>
      <c r="K41" s="12">
        <v>33</v>
      </c>
      <c r="L41" s="12">
        <v>30</v>
      </c>
      <c r="M41" s="12">
        <v>13</v>
      </c>
      <c r="N41" s="12">
        <v>12</v>
      </c>
      <c r="O41" s="12">
        <v>8</v>
      </c>
      <c r="P41" s="12">
        <v>3</v>
      </c>
      <c r="Q41" s="12">
        <v>30</v>
      </c>
      <c r="R41" s="12">
        <v>30</v>
      </c>
      <c r="S41" s="12">
        <v>25</v>
      </c>
      <c r="T41" s="12">
        <v>20</v>
      </c>
      <c r="U41" s="12">
        <v>11</v>
      </c>
      <c r="V41" s="12">
        <v>18</v>
      </c>
      <c r="W41" s="12">
        <v>16</v>
      </c>
      <c r="X41" s="12">
        <v>25</v>
      </c>
      <c r="Y41" s="12">
        <v>18</v>
      </c>
      <c r="Z41" s="12">
        <v>9</v>
      </c>
      <c r="AA41" s="12">
        <v>10</v>
      </c>
      <c r="AB41" s="12">
        <v>20</v>
      </c>
      <c r="AC41" s="12">
        <v>19</v>
      </c>
      <c r="AD41" s="38">
        <v>16</v>
      </c>
    </row>
    <row r="42" spans="1:33" x14ac:dyDescent="0.25">
      <c r="A42" t="s">
        <v>254</v>
      </c>
      <c r="B42" s="8" t="s">
        <v>110</v>
      </c>
      <c r="C42" s="12">
        <v>0</v>
      </c>
      <c r="D42" s="12">
        <v>3</v>
      </c>
      <c r="E42" s="12">
        <v>0</v>
      </c>
      <c r="F42" s="12">
        <v>1</v>
      </c>
      <c r="G42" s="12">
        <v>3</v>
      </c>
      <c r="H42" s="12">
        <v>3</v>
      </c>
      <c r="I42" s="12">
        <v>0</v>
      </c>
      <c r="J42" s="12">
        <v>1</v>
      </c>
      <c r="K42" s="12">
        <v>1</v>
      </c>
      <c r="L42" s="12">
        <v>0</v>
      </c>
      <c r="M42" s="12">
        <v>1</v>
      </c>
      <c r="N42" s="12">
        <v>0</v>
      </c>
      <c r="O42" s="12">
        <v>3</v>
      </c>
      <c r="P42" s="18">
        <v>0</v>
      </c>
      <c r="Q42" s="12">
        <v>0</v>
      </c>
      <c r="R42" s="12">
        <v>0</v>
      </c>
      <c r="S42" s="12">
        <v>3</v>
      </c>
      <c r="T42" s="12">
        <v>1</v>
      </c>
      <c r="U42" s="12">
        <v>1</v>
      </c>
      <c r="V42" s="12">
        <v>0</v>
      </c>
      <c r="W42" s="12">
        <v>3</v>
      </c>
      <c r="X42" s="12">
        <v>0</v>
      </c>
      <c r="Y42" s="12">
        <v>3</v>
      </c>
      <c r="Z42" s="12">
        <v>0</v>
      </c>
      <c r="AA42" s="12">
        <v>0</v>
      </c>
      <c r="AB42" s="12">
        <v>0</v>
      </c>
      <c r="AC42" s="12">
        <v>0</v>
      </c>
      <c r="AD42" s="38">
        <v>3</v>
      </c>
    </row>
    <row r="43" spans="1:33" x14ac:dyDescent="0.25">
      <c r="A43" t="s">
        <v>257</v>
      </c>
      <c r="B43" s="9" t="s">
        <v>103</v>
      </c>
      <c r="C43" s="12">
        <f>IF(C42=0,1,0)</f>
        <v>1</v>
      </c>
      <c r="D43" s="12">
        <f t="shared" ref="D43:AG43" si="8">IF(D42=0,1,0)</f>
        <v>0</v>
      </c>
      <c r="E43" s="12">
        <f t="shared" si="8"/>
        <v>1</v>
      </c>
      <c r="F43" s="12">
        <f t="shared" si="8"/>
        <v>0</v>
      </c>
      <c r="G43" s="12">
        <f t="shared" si="8"/>
        <v>0</v>
      </c>
      <c r="H43" s="12">
        <f t="shared" si="8"/>
        <v>0</v>
      </c>
      <c r="I43" s="12">
        <f t="shared" si="8"/>
        <v>1</v>
      </c>
      <c r="J43" s="12">
        <f t="shared" si="8"/>
        <v>0</v>
      </c>
      <c r="K43" s="12">
        <f t="shared" si="8"/>
        <v>0</v>
      </c>
      <c r="L43" s="12">
        <f t="shared" si="8"/>
        <v>1</v>
      </c>
      <c r="M43" s="12">
        <f t="shared" si="8"/>
        <v>0</v>
      </c>
      <c r="N43" s="12">
        <f t="shared" si="8"/>
        <v>1</v>
      </c>
      <c r="O43" s="12">
        <f t="shared" si="8"/>
        <v>0</v>
      </c>
      <c r="P43" s="12">
        <f t="shared" si="8"/>
        <v>1</v>
      </c>
      <c r="Q43" s="12">
        <f t="shared" si="8"/>
        <v>1</v>
      </c>
      <c r="R43" s="12">
        <f t="shared" si="8"/>
        <v>1</v>
      </c>
      <c r="S43" s="12">
        <f t="shared" si="8"/>
        <v>0</v>
      </c>
      <c r="T43" s="12">
        <f t="shared" si="8"/>
        <v>0</v>
      </c>
      <c r="U43" s="12">
        <f t="shared" si="8"/>
        <v>0</v>
      </c>
      <c r="V43" s="12">
        <f t="shared" si="8"/>
        <v>1</v>
      </c>
      <c r="W43" s="12">
        <f t="shared" si="8"/>
        <v>0</v>
      </c>
      <c r="X43" s="12">
        <f t="shared" si="8"/>
        <v>1</v>
      </c>
      <c r="Y43" s="12">
        <f t="shared" si="8"/>
        <v>0</v>
      </c>
      <c r="Z43" s="12">
        <f t="shared" si="8"/>
        <v>1</v>
      </c>
      <c r="AA43" s="12">
        <f t="shared" si="8"/>
        <v>1</v>
      </c>
      <c r="AB43" s="12">
        <f t="shared" si="8"/>
        <v>1</v>
      </c>
      <c r="AC43" s="12">
        <f t="shared" si="8"/>
        <v>1</v>
      </c>
      <c r="AD43" s="35">
        <f t="shared" si="8"/>
        <v>0</v>
      </c>
      <c r="AE43" s="35">
        <f t="shared" si="8"/>
        <v>1</v>
      </c>
      <c r="AF43" s="35">
        <f t="shared" si="8"/>
        <v>1</v>
      </c>
      <c r="AG43" s="35">
        <f t="shared" si="8"/>
        <v>1</v>
      </c>
    </row>
    <row r="44" spans="1:33" x14ac:dyDescent="0.25">
      <c r="A44" t="s">
        <v>258</v>
      </c>
      <c r="B44" s="9" t="s">
        <v>152</v>
      </c>
      <c r="C44" s="12">
        <v>19</v>
      </c>
      <c r="D44" s="12">
        <v>16</v>
      </c>
      <c r="E44" s="12">
        <v>11</v>
      </c>
      <c r="F44" s="12">
        <v>34</v>
      </c>
      <c r="G44" s="12">
        <v>37</v>
      </c>
      <c r="H44" s="12">
        <v>35</v>
      </c>
      <c r="I44" s="12">
        <v>32</v>
      </c>
      <c r="J44" s="12">
        <v>48</v>
      </c>
      <c r="K44" s="12">
        <v>26</v>
      </c>
      <c r="L44" s="12">
        <v>78</v>
      </c>
      <c r="M44" s="12">
        <v>10</v>
      </c>
      <c r="N44" s="12">
        <v>13</v>
      </c>
      <c r="O44" s="12">
        <v>12</v>
      </c>
      <c r="P44" s="12">
        <v>2</v>
      </c>
      <c r="Q44" s="12">
        <v>13</v>
      </c>
      <c r="R44" s="12">
        <v>15</v>
      </c>
      <c r="S44" s="12">
        <v>36</v>
      </c>
      <c r="T44" s="12">
        <v>21</v>
      </c>
      <c r="U44" s="12">
        <v>24</v>
      </c>
      <c r="V44" s="12">
        <v>34</v>
      </c>
      <c r="W44" s="12">
        <v>33</v>
      </c>
      <c r="X44" s="12">
        <v>172</v>
      </c>
      <c r="Y44" s="12">
        <v>9</v>
      </c>
      <c r="Z44" s="12">
        <v>14</v>
      </c>
      <c r="AA44" s="12">
        <v>37</v>
      </c>
      <c r="AB44" s="12">
        <v>29</v>
      </c>
      <c r="AC44" s="12">
        <v>22</v>
      </c>
      <c r="AD44" s="38">
        <v>23</v>
      </c>
    </row>
    <row r="45" spans="1:33" x14ac:dyDescent="0.25">
      <c r="A45" t="s">
        <v>259</v>
      </c>
      <c r="B45" s="8" t="s">
        <v>111</v>
      </c>
      <c r="C45" s="12">
        <v>0</v>
      </c>
      <c r="D45" s="12">
        <v>0</v>
      </c>
      <c r="E45" s="12">
        <v>0</v>
      </c>
      <c r="F45" s="12">
        <v>2</v>
      </c>
      <c r="G45" s="12">
        <v>2</v>
      </c>
      <c r="H45" s="12">
        <v>2</v>
      </c>
      <c r="I45" s="12">
        <v>0</v>
      </c>
      <c r="J45" s="12">
        <v>0</v>
      </c>
      <c r="K45" s="12">
        <v>2</v>
      </c>
      <c r="L45" s="12">
        <v>0</v>
      </c>
      <c r="M45" s="12">
        <v>2</v>
      </c>
      <c r="N45" s="12">
        <v>0</v>
      </c>
      <c r="O45" s="12">
        <v>0</v>
      </c>
      <c r="P45" s="18">
        <v>0</v>
      </c>
      <c r="Q45" s="12">
        <v>0</v>
      </c>
      <c r="R45" s="12">
        <v>1</v>
      </c>
      <c r="S45" s="12">
        <v>0</v>
      </c>
      <c r="T45" s="12">
        <v>0</v>
      </c>
      <c r="U45" s="12">
        <v>0</v>
      </c>
      <c r="V45" s="12">
        <v>2</v>
      </c>
      <c r="W45" s="12">
        <v>0</v>
      </c>
      <c r="X45" s="12">
        <v>0</v>
      </c>
      <c r="Y45" s="12">
        <v>2</v>
      </c>
      <c r="Z45" s="12">
        <v>0</v>
      </c>
      <c r="AA45" s="12">
        <v>2</v>
      </c>
      <c r="AB45" s="12">
        <v>2</v>
      </c>
      <c r="AC45" s="12">
        <v>2</v>
      </c>
      <c r="AD45" s="38">
        <v>0</v>
      </c>
    </row>
    <row r="46" spans="1:33" x14ac:dyDescent="0.25">
      <c r="A46" t="s">
        <v>262</v>
      </c>
      <c r="B46" s="9" t="s">
        <v>104</v>
      </c>
      <c r="C46" s="12">
        <f>IF(C45=0,1,0)</f>
        <v>1</v>
      </c>
      <c r="D46" s="12">
        <f t="shared" ref="D46:AG46" si="9">IF(D45=0,1,0)</f>
        <v>1</v>
      </c>
      <c r="E46" s="12">
        <f t="shared" si="9"/>
        <v>1</v>
      </c>
      <c r="F46" s="12">
        <f t="shared" si="9"/>
        <v>0</v>
      </c>
      <c r="G46" s="12">
        <f t="shared" si="9"/>
        <v>0</v>
      </c>
      <c r="H46" s="12">
        <f t="shared" si="9"/>
        <v>0</v>
      </c>
      <c r="I46" s="12">
        <f t="shared" si="9"/>
        <v>1</v>
      </c>
      <c r="J46" s="12">
        <f t="shared" si="9"/>
        <v>1</v>
      </c>
      <c r="K46" s="12">
        <f t="shared" si="9"/>
        <v>0</v>
      </c>
      <c r="L46" s="12">
        <f t="shared" si="9"/>
        <v>1</v>
      </c>
      <c r="M46" s="12">
        <f t="shared" si="9"/>
        <v>0</v>
      </c>
      <c r="N46" s="12">
        <f t="shared" si="9"/>
        <v>1</v>
      </c>
      <c r="O46" s="12">
        <f t="shared" si="9"/>
        <v>1</v>
      </c>
      <c r="P46" s="12">
        <f t="shared" si="9"/>
        <v>1</v>
      </c>
      <c r="Q46" s="12">
        <f t="shared" si="9"/>
        <v>1</v>
      </c>
      <c r="R46" s="12">
        <f t="shared" si="9"/>
        <v>0</v>
      </c>
      <c r="S46" s="12">
        <f t="shared" si="9"/>
        <v>1</v>
      </c>
      <c r="T46" s="12">
        <f t="shared" si="9"/>
        <v>1</v>
      </c>
      <c r="U46" s="12">
        <f t="shared" si="9"/>
        <v>1</v>
      </c>
      <c r="V46" s="12">
        <f t="shared" si="9"/>
        <v>0</v>
      </c>
      <c r="W46" s="12">
        <f t="shared" si="9"/>
        <v>1</v>
      </c>
      <c r="X46" s="12">
        <f t="shared" si="9"/>
        <v>1</v>
      </c>
      <c r="Y46" s="12">
        <f t="shared" si="9"/>
        <v>0</v>
      </c>
      <c r="Z46" s="12">
        <f t="shared" si="9"/>
        <v>1</v>
      </c>
      <c r="AA46" s="12">
        <f t="shared" si="9"/>
        <v>0</v>
      </c>
      <c r="AB46" s="12">
        <f t="shared" si="9"/>
        <v>0</v>
      </c>
      <c r="AC46" s="12">
        <f t="shared" si="9"/>
        <v>0</v>
      </c>
      <c r="AD46" s="35">
        <f t="shared" si="9"/>
        <v>1</v>
      </c>
      <c r="AE46" s="35">
        <f t="shared" si="9"/>
        <v>1</v>
      </c>
      <c r="AF46" s="35">
        <f t="shared" si="9"/>
        <v>1</v>
      </c>
      <c r="AG46" s="35">
        <f t="shared" si="9"/>
        <v>1</v>
      </c>
    </row>
    <row r="47" spans="1:33" x14ac:dyDescent="0.25">
      <c r="A47" t="s">
        <v>263</v>
      </c>
      <c r="B47" s="9" t="s">
        <v>151</v>
      </c>
      <c r="C47" s="12">
        <v>22</v>
      </c>
      <c r="D47" s="12">
        <v>21</v>
      </c>
      <c r="E47" s="12">
        <v>13</v>
      </c>
      <c r="F47" s="12">
        <v>30</v>
      </c>
      <c r="G47" s="12">
        <v>63</v>
      </c>
      <c r="H47" s="12">
        <v>13</v>
      </c>
      <c r="I47" s="12">
        <v>110</v>
      </c>
      <c r="J47" s="12">
        <v>46</v>
      </c>
      <c r="K47" s="12">
        <v>23</v>
      </c>
      <c r="L47" s="12">
        <v>30</v>
      </c>
      <c r="M47" s="12">
        <v>10</v>
      </c>
      <c r="N47" s="12">
        <v>17</v>
      </c>
      <c r="O47" s="12">
        <v>29</v>
      </c>
      <c r="P47" s="12">
        <v>1</v>
      </c>
      <c r="Q47" s="12">
        <v>16</v>
      </c>
      <c r="R47" s="12">
        <v>18</v>
      </c>
      <c r="S47" s="12">
        <v>24</v>
      </c>
      <c r="T47" s="12">
        <v>40</v>
      </c>
      <c r="U47" s="12">
        <v>19</v>
      </c>
      <c r="V47" s="12">
        <v>20</v>
      </c>
      <c r="W47" s="12">
        <v>22</v>
      </c>
      <c r="X47" s="12">
        <v>84</v>
      </c>
      <c r="Y47" s="12">
        <v>10</v>
      </c>
      <c r="Z47" s="12">
        <v>24</v>
      </c>
      <c r="AA47" s="12">
        <v>25</v>
      </c>
      <c r="AB47" s="12">
        <v>60</v>
      </c>
      <c r="AC47" s="12">
        <v>20</v>
      </c>
      <c r="AD47" s="38">
        <v>23</v>
      </c>
    </row>
    <row r="48" spans="1:33" x14ac:dyDescent="0.25">
      <c r="A48" t="s">
        <v>264</v>
      </c>
      <c r="B48" s="8" t="s">
        <v>18</v>
      </c>
      <c r="C48" s="12">
        <v>2</v>
      </c>
      <c r="D48" s="12">
        <v>2</v>
      </c>
      <c r="E48" s="12">
        <v>2</v>
      </c>
      <c r="F48" s="12">
        <v>2</v>
      </c>
      <c r="G48" s="12">
        <v>2</v>
      </c>
      <c r="H48" s="12">
        <v>2</v>
      </c>
      <c r="I48" s="12">
        <v>2</v>
      </c>
      <c r="J48" s="12">
        <v>1</v>
      </c>
      <c r="K48" s="12">
        <v>2</v>
      </c>
      <c r="L48" s="12">
        <v>1</v>
      </c>
      <c r="M48" s="12">
        <v>2</v>
      </c>
      <c r="N48" s="12">
        <v>2</v>
      </c>
      <c r="O48" s="12">
        <v>2</v>
      </c>
      <c r="P48" s="18">
        <v>0</v>
      </c>
      <c r="Q48" s="12">
        <v>0</v>
      </c>
      <c r="R48" s="12">
        <v>2</v>
      </c>
      <c r="S48" s="12">
        <v>3</v>
      </c>
      <c r="T48" s="12">
        <v>2</v>
      </c>
      <c r="U48" s="12">
        <v>2</v>
      </c>
      <c r="V48" s="12">
        <v>3</v>
      </c>
      <c r="W48" s="12">
        <v>2</v>
      </c>
      <c r="X48" s="12">
        <v>2</v>
      </c>
      <c r="Y48" s="12">
        <v>3</v>
      </c>
      <c r="Z48" s="12">
        <v>2</v>
      </c>
      <c r="AA48" s="12">
        <v>0</v>
      </c>
      <c r="AB48" s="12">
        <v>0</v>
      </c>
      <c r="AC48" s="12">
        <v>1</v>
      </c>
      <c r="AD48" s="38">
        <v>3</v>
      </c>
    </row>
    <row r="49" spans="1:33" x14ac:dyDescent="0.25">
      <c r="A49" t="s">
        <v>268</v>
      </c>
      <c r="B49" s="9" t="s">
        <v>106</v>
      </c>
      <c r="C49" s="12">
        <f>IF(C48=2,1,0)</f>
        <v>1</v>
      </c>
      <c r="D49" s="12">
        <f t="shared" ref="D49:AG49" si="10">IF(D48=2,1,0)</f>
        <v>1</v>
      </c>
      <c r="E49" s="12">
        <f t="shared" si="10"/>
        <v>1</v>
      </c>
      <c r="F49" s="12">
        <f t="shared" si="10"/>
        <v>1</v>
      </c>
      <c r="G49" s="12">
        <f t="shared" si="10"/>
        <v>1</v>
      </c>
      <c r="H49" s="12">
        <f t="shared" si="10"/>
        <v>1</v>
      </c>
      <c r="I49" s="12">
        <f t="shared" si="10"/>
        <v>1</v>
      </c>
      <c r="J49" s="12">
        <f t="shared" si="10"/>
        <v>0</v>
      </c>
      <c r="K49" s="12">
        <f t="shared" si="10"/>
        <v>1</v>
      </c>
      <c r="L49" s="12">
        <f t="shared" si="10"/>
        <v>0</v>
      </c>
      <c r="M49" s="12">
        <f t="shared" si="10"/>
        <v>1</v>
      </c>
      <c r="N49" s="12">
        <f t="shared" si="10"/>
        <v>1</v>
      </c>
      <c r="O49" s="12">
        <f t="shared" si="10"/>
        <v>1</v>
      </c>
      <c r="P49" s="12">
        <f t="shared" si="10"/>
        <v>0</v>
      </c>
      <c r="Q49" s="12">
        <f t="shared" si="10"/>
        <v>0</v>
      </c>
      <c r="R49" s="12">
        <f t="shared" si="10"/>
        <v>1</v>
      </c>
      <c r="S49" s="12">
        <f t="shared" si="10"/>
        <v>0</v>
      </c>
      <c r="T49" s="12">
        <f t="shared" si="10"/>
        <v>1</v>
      </c>
      <c r="U49" s="12">
        <f t="shared" si="10"/>
        <v>1</v>
      </c>
      <c r="V49" s="12">
        <f t="shared" si="10"/>
        <v>0</v>
      </c>
      <c r="W49" s="12">
        <f t="shared" si="10"/>
        <v>1</v>
      </c>
      <c r="X49" s="12">
        <f t="shared" si="10"/>
        <v>1</v>
      </c>
      <c r="Y49" s="12">
        <f t="shared" si="10"/>
        <v>0</v>
      </c>
      <c r="Z49" s="12">
        <f t="shared" si="10"/>
        <v>1</v>
      </c>
      <c r="AA49" s="12">
        <f t="shared" si="10"/>
        <v>0</v>
      </c>
      <c r="AB49" s="12">
        <f t="shared" si="10"/>
        <v>0</v>
      </c>
      <c r="AC49" s="12">
        <f t="shared" si="10"/>
        <v>0</v>
      </c>
      <c r="AD49" s="35">
        <f t="shared" si="10"/>
        <v>0</v>
      </c>
      <c r="AE49" s="35">
        <f t="shared" si="10"/>
        <v>0</v>
      </c>
      <c r="AF49" s="35">
        <f t="shared" si="10"/>
        <v>0</v>
      </c>
      <c r="AG49" s="35">
        <f t="shared" si="10"/>
        <v>0</v>
      </c>
    </row>
    <row r="50" spans="1:33" x14ac:dyDescent="0.25">
      <c r="A50" t="s">
        <v>269</v>
      </c>
      <c r="B50" s="9" t="s">
        <v>155</v>
      </c>
      <c r="C50" s="12">
        <v>13</v>
      </c>
      <c r="D50" s="12">
        <v>21</v>
      </c>
      <c r="E50" s="12">
        <v>9</v>
      </c>
      <c r="F50" s="12">
        <v>44</v>
      </c>
      <c r="G50" s="12">
        <v>30</v>
      </c>
      <c r="H50" s="12">
        <v>52</v>
      </c>
      <c r="I50" s="12">
        <v>37</v>
      </c>
      <c r="J50" s="12">
        <v>18</v>
      </c>
      <c r="K50" s="12">
        <v>72</v>
      </c>
      <c r="L50" s="12">
        <v>67</v>
      </c>
      <c r="M50" s="12">
        <v>22</v>
      </c>
      <c r="N50" s="12">
        <v>6</v>
      </c>
      <c r="O50" s="12">
        <v>11</v>
      </c>
      <c r="P50" s="12">
        <v>1</v>
      </c>
      <c r="Q50" s="12">
        <v>26</v>
      </c>
      <c r="R50" s="12">
        <v>30</v>
      </c>
      <c r="S50" s="12">
        <v>20</v>
      </c>
      <c r="T50" s="12">
        <v>30</v>
      </c>
      <c r="U50" s="12">
        <v>18</v>
      </c>
      <c r="V50" s="12">
        <v>56</v>
      </c>
      <c r="W50" s="12">
        <v>13</v>
      </c>
      <c r="X50" s="12">
        <v>78</v>
      </c>
      <c r="Y50" s="12">
        <v>11</v>
      </c>
      <c r="Z50" s="12">
        <v>8</v>
      </c>
      <c r="AA50" s="12">
        <v>37</v>
      </c>
      <c r="AB50" s="12">
        <v>34</v>
      </c>
      <c r="AC50" s="12">
        <v>23</v>
      </c>
      <c r="AD50" s="38">
        <v>24</v>
      </c>
    </row>
    <row r="51" spans="1:33" x14ac:dyDescent="0.25">
      <c r="A51" t="s">
        <v>270</v>
      </c>
      <c r="B51" s="8" t="s">
        <v>19</v>
      </c>
      <c r="C51" s="12">
        <v>1</v>
      </c>
      <c r="D51" s="12">
        <v>1</v>
      </c>
      <c r="E51" s="12">
        <v>1</v>
      </c>
      <c r="F51" s="12">
        <v>1</v>
      </c>
      <c r="G51" s="12">
        <v>1</v>
      </c>
      <c r="H51" s="12">
        <v>1</v>
      </c>
      <c r="I51" s="12">
        <v>1</v>
      </c>
      <c r="J51" s="12">
        <v>3</v>
      </c>
      <c r="K51" s="12">
        <v>1</v>
      </c>
      <c r="L51" s="12">
        <v>1</v>
      </c>
      <c r="M51" s="12">
        <v>1</v>
      </c>
      <c r="N51" s="12">
        <v>1</v>
      </c>
      <c r="O51" s="12">
        <v>1</v>
      </c>
      <c r="P51" s="18">
        <v>0</v>
      </c>
      <c r="Q51" s="12">
        <v>0</v>
      </c>
      <c r="R51" s="12">
        <v>1</v>
      </c>
      <c r="S51" s="12">
        <v>3</v>
      </c>
      <c r="T51" s="12">
        <v>1</v>
      </c>
      <c r="U51" s="12">
        <v>1</v>
      </c>
      <c r="V51" s="12">
        <v>1</v>
      </c>
      <c r="W51" s="12">
        <v>1</v>
      </c>
      <c r="X51" s="12">
        <v>1</v>
      </c>
      <c r="Y51" s="12">
        <v>2</v>
      </c>
      <c r="Z51" s="12">
        <v>1</v>
      </c>
      <c r="AA51" s="12">
        <v>1</v>
      </c>
      <c r="AB51" s="12">
        <v>1</v>
      </c>
      <c r="AC51" s="12">
        <v>0</v>
      </c>
      <c r="AD51" s="38">
        <v>1</v>
      </c>
    </row>
    <row r="52" spans="1:33" x14ac:dyDescent="0.25">
      <c r="A52" t="s">
        <v>274</v>
      </c>
      <c r="B52" s="9" t="s">
        <v>105</v>
      </c>
      <c r="C52" s="12">
        <f>IF(C51=1,1,0)</f>
        <v>1</v>
      </c>
      <c r="D52" s="12">
        <f t="shared" ref="D52:AG52" si="11">IF(D51=1,1,0)</f>
        <v>1</v>
      </c>
      <c r="E52" s="12">
        <f t="shared" si="11"/>
        <v>1</v>
      </c>
      <c r="F52" s="12">
        <f t="shared" si="11"/>
        <v>1</v>
      </c>
      <c r="G52" s="12">
        <f t="shared" si="11"/>
        <v>1</v>
      </c>
      <c r="H52" s="12">
        <f t="shared" si="11"/>
        <v>1</v>
      </c>
      <c r="I52" s="12">
        <f t="shared" si="11"/>
        <v>1</v>
      </c>
      <c r="J52" s="12">
        <f t="shared" si="11"/>
        <v>0</v>
      </c>
      <c r="K52" s="12">
        <f t="shared" si="11"/>
        <v>1</v>
      </c>
      <c r="L52" s="12">
        <f t="shared" si="11"/>
        <v>1</v>
      </c>
      <c r="M52" s="12">
        <f t="shared" si="11"/>
        <v>1</v>
      </c>
      <c r="N52" s="12">
        <f t="shared" si="11"/>
        <v>1</v>
      </c>
      <c r="O52" s="12">
        <f t="shared" si="11"/>
        <v>1</v>
      </c>
      <c r="P52" s="12">
        <f t="shared" si="11"/>
        <v>0</v>
      </c>
      <c r="Q52" s="12">
        <f t="shared" si="11"/>
        <v>0</v>
      </c>
      <c r="R52" s="12">
        <f t="shared" si="11"/>
        <v>1</v>
      </c>
      <c r="S52" s="12">
        <f t="shared" si="11"/>
        <v>0</v>
      </c>
      <c r="T52" s="12">
        <f t="shared" si="11"/>
        <v>1</v>
      </c>
      <c r="U52" s="12">
        <f t="shared" si="11"/>
        <v>1</v>
      </c>
      <c r="V52" s="12">
        <f t="shared" si="11"/>
        <v>1</v>
      </c>
      <c r="W52" s="12">
        <f t="shared" si="11"/>
        <v>1</v>
      </c>
      <c r="X52" s="12">
        <f t="shared" si="11"/>
        <v>1</v>
      </c>
      <c r="Y52" s="12">
        <f t="shared" si="11"/>
        <v>0</v>
      </c>
      <c r="Z52" s="12">
        <f t="shared" si="11"/>
        <v>1</v>
      </c>
      <c r="AA52" s="12">
        <f t="shared" si="11"/>
        <v>1</v>
      </c>
      <c r="AB52" s="12">
        <f t="shared" si="11"/>
        <v>1</v>
      </c>
      <c r="AC52" s="12">
        <f t="shared" si="11"/>
        <v>0</v>
      </c>
      <c r="AD52" s="35">
        <f t="shared" si="11"/>
        <v>1</v>
      </c>
      <c r="AE52" s="35">
        <f t="shared" si="11"/>
        <v>0</v>
      </c>
      <c r="AF52" s="35">
        <f t="shared" si="11"/>
        <v>0</v>
      </c>
      <c r="AG52" s="35">
        <f t="shared" si="11"/>
        <v>0</v>
      </c>
    </row>
    <row r="53" spans="1:33" x14ac:dyDescent="0.25">
      <c r="A53" t="s">
        <v>275</v>
      </c>
      <c r="B53" s="9" t="s">
        <v>154</v>
      </c>
      <c r="C53" s="12">
        <v>5</v>
      </c>
      <c r="D53" s="12">
        <v>4</v>
      </c>
      <c r="E53" s="12">
        <v>4</v>
      </c>
      <c r="F53" s="12">
        <v>15</v>
      </c>
      <c r="G53" s="12">
        <v>7</v>
      </c>
      <c r="H53" s="12">
        <v>5</v>
      </c>
      <c r="I53" s="12">
        <v>12</v>
      </c>
      <c r="J53" s="12">
        <v>31</v>
      </c>
      <c r="K53" s="12">
        <v>13</v>
      </c>
      <c r="L53" s="12">
        <v>13</v>
      </c>
      <c r="M53" s="12">
        <v>7</v>
      </c>
      <c r="N53" s="12">
        <v>3</v>
      </c>
      <c r="O53" s="12">
        <v>4</v>
      </c>
      <c r="P53" s="12">
        <v>1</v>
      </c>
      <c r="Q53" s="12">
        <v>8</v>
      </c>
      <c r="R53" s="12">
        <v>5</v>
      </c>
      <c r="S53" s="12">
        <v>28</v>
      </c>
      <c r="T53" s="12">
        <v>10</v>
      </c>
      <c r="U53" s="12">
        <v>3</v>
      </c>
      <c r="V53" s="12">
        <v>9</v>
      </c>
      <c r="W53" s="12">
        <v>6</v>
      </c>
      <c r="X53" s="12">
        <v>15</v>
      </c>
      <c r="Y53" s="12">
        <v>6</v>
      </c>
      <c r="Z53" s="12">
        <v>3</v>
      </c>
      <c r="AA53" s="12">
        <v>7</v>
      </c>
      <c r="AB53" s="12">
        <v>9</v>
      </c>
      <c r="AC53" s="12">
        <v>13</v>
      </c>
      <c r="AD53" s="38">
        <v>10</v>
      </c>
    </row>
    <row r="54" spans="1:33" x14ac:dyDescent="0.25">
      <c r="A54" t="s">
        <v>276</v>
      </c>
      <c r="B54" s="8" t="s">
        <v>20</v>
      </c>
      <c r="C54" s="12">
        <v>3</v>
      </c>
      <c r="D54" s="12">
        <v>0</v>
      </c>
      <c r="E54" s="12">
        <v>0</v>
      </c>
      <c r="F54" s="12">
        <v>3</v>
      </c>
      <c r="G54" s="12">
        <v>3</v>
      </c>
      <c r="H54" s="12">
        <v>3</v>
      </c>
      <c r="I54" s="12">
        <v>0</v>
      </c>
      <c r="J54" s="12">
        <v>1</v>
      </c>
      <c r="K54" s="12">
        <v>3</v>
      </c>
      <c r="L54" s="12">
        <v>3</v>
      </c>
      <c r="M54" s="12">
        <v>3</v>
      </c>
      <c r="N54" s="12">
        <v>3</v>
      </c>
      <c r="O54" s="12">
        <v>3</v>
      </c>
      <c r="P54" s="18">
        <v>0</v>
      </c>
      <c r="Q54" s="12">
        <v>3</v>
      </c>
      <c r="R54" s="12">
        <v>0</v>
      </c>
      <c r="S54" s="12">
        <v>0</v>
      </c>
      <c r="T54" s="12">
        <v>3</v>
      </c>
      <c r="U54" s="12">
        <v>3</v>
      </c>
      <c r="V54" s="12">
        <v>3</v>
      </c>
      <c r="W54" s="12">
        <v>3</v>
      </c>
      <c r="X54" s="12">
        <v>3</v>
      </c>
      <c r="Y54" s="12">
        <v>3</v>
      </c>
      <c r="Z54" s="12">
        <v>3</v>
      </c>
      <c r="AA54" s="12">
        <v>3</v>
      </c>
      <c r="AB54" s="12">
        <v>3</v>
      </c>
      <c r="AC54" s="12">
        <v>1</v>
      </c>
      <c r="AD54" s="38">
        <v>3</v>
      </c>
    </row>
    <row r="55" spans="1:33" x14ac:dyDescent="0.25">
      <c r="A55" t="s">
        <v>280</v>
      </c>
      <c r="B55" s="9" t="s">
        <v>107</v>
      </c>
      <c r="C55" s="12">
        <f>IF(C54=3,1,0)</f>
        <v>1</v>
      </c>
      <c r="D55" s="12">
        <f t="shared" ref="D55:AG55" si="12">IF(D54=3,1,0)</f>
        <v>0</v>
      </c>
      <c r="E55" s="12">
        <f t="shared" si="12"/>
        <v>0</v>
      </c>
      <c r="F55" s="12">
        <f t="shared" si="12"/>
        <v>1</v>
      </c>
      <c r="G55" s="12">
        <f t="shared" si="12"/>
        <v>1</v>
      </c>
      <c r="H55" s="12">
        <f t="shared" si="12"/>
        <v>1</v>
      </c>
      <c r="I55" s="12">
        <f t="shared" si="12"/>
        <v>0</v>
      </c>
      <c r="J55" s="12">
        <f t="shared" si="12"/>
        <v>0</v>
      </c>
      <c r="K55" s="12">
        <f t="shared" si="12"/>
        <v>1</v>
      </c>
      <c r="L55" s="12">
        <f t="shared" si="12"/>
        <v>1</v>
      </c>
      <c r="M55" s="12">
        <f t="shared" si="12"/>
        <v>1</v>
      </c>
      <c r="N55" s="12">
        <f t="shared" si="12"/>
        <v>1</v>
      </c>
      <c r="O55" s="12">
        <f t="shared" si="12"/>
        <v>1</v>
      </c>
      <c r="P55" s="12">
        <f t="shared" si="12"/>
        <v>0</v>
      </c>
      <c r="Q55" s="12">
        <f t="shared" si="12"/>
        <v>1</v>
      </c>
      <c r="R55" s="12">
        <f t="shared" si="12"/>
        <v>0</v>
      </c>
      <c r="S55" s="12">
        <f t="shared" si="12"/>
        <v>0</v>
      </c>
      <c r="T55" s="12">
        <f t="shared" si="12"/>
        <v>1</v>
      </c>
      <c r="U55" s="12">
        <f t="shared" si="12"/>
        <v>1</v>
      </c>
      <c r="V55" s="12">
        <f t="shared" si="12"/>
        <v>1</v>
      </c>
      <c r="W55" s="12">
        <f t="shared" si="12"/>
        <v>1</v>
      </c>
      <c r="X55" s="12">
        <f t="shared" si="12"/>
        <v>1</v>
      </c>
      <c r="Y55" s="12">
        <f t="shared" si="12"/>
        <v>1</v>
      </c>
      <c r="Z55" s="12">
        <f t="shared" si="12"/>
        <v>1</v>
      </c>
      <c r="AA55" s="12">
        <f t="shared" si="12"/>
        <v>1</v>
      </c>
      <c r="AB55" s="12">
        <f t="shared" si="12"/>
        <v>1</v>
      </c>
      <c r="AC55" s="12">
        <f t="shared" si="12"/>
        <v>0</v>
      </c>
      <c r="AD55" s="35">
        <f t="shared" si="12"/>
        <v>1</v>
      </c>
      <c r="AE55" s="35">
        <f t="shared" si="12"/>
        <v>0</v>
      </c>
      <c r="AF55" s="35">
        <f t="shared" si="12"/>
        <v>0</v>
      </c>
      <c r="AG55" s="35">
        <f t="shared" si="12"/>
        <v>0</v>
      </c>
    </row>
    <row r="56" spans="1:33" x14ac:dyDescent="0.25">
      <c r="A56" t="s">
        <v>281</v>
      </c>
      <c r="B56" s="9" t="s">
        <v>156</v>
      </c>
      <c r="C56" s="12">
        <v>20</v>
      </c>
      <c r="D56" s="12">
        <v>19</v>
      </c>
      <c r="E56" s="12">
        <v>37</v>
      </c>
      <c r="F56" s="12">
        <v>91</v>
      </c>
      <c r="G56" s="12">
        <v>36</v>
      </c>
      <c r="H56" s="12">
        <v>57</v>
      </c>
      <c r="I56" s="12">
        <v>182</v>
      </c>
      <c r="J56" s="12">
        <v>32</v>
      </c>
      <c r="K56" s="12">
        <v>47</v>
      </c>
      <c r="L56" s="12">
        <v>242</v>
      </c>
      <c r="M56" s="12">
        <v>3</v>
      </c>
      <c r="N56" s="12">
        <v>20</v>
      </c>
      <c r="O56" s="12">
        <v>16</v>
      </c>
      <c r="P56" s="12">
        <v>2</v>
      </c>
      <c r="Q56" s="12">
        <v>37</v>
      </c>
      <c r="R56" s="12">
        <v>16</v>
      </c>
      <c r="S56" s="12">
        <v>39</v>
      </c>
      <c r="T56" s="12">
        <v>23</v>
      </c>
      <c r="U56" s="12">
        <v>20</v>
      </c>
      <c r="V56" s="12">
        <v>41</v>
      </c>
      <c r="W56" s="12">
        <v>24</v>
      </c>
      <c r="X56" s="12">
        <v>36</v>
      </c>
      <c r="Y56" s="12">
        <v>11</v>
      </c>
      <c r="Z56" s="12">
        <v>21</v>
      </c>
      <c r="AA56" s="12">
        <v>21</v>
      </c>
      <c r="AB56" s="12">
        <v>21</v>
      </c>
      <c r="AC56" s="12">
        <v>48</v>
      </c>
      <c r="AD56" s="38">
        <v>15</v>
      </c>
    </row>
    <row r="57" spans="1:33" x14ac:dyDescent="0.25">
      <c r="A57" t="s">
        <v>282</v>
      </c>
      <c r="B57" s="8" t="s">
        <v>21</v>
      </c>
      <c r="C57" s="12">
        <v>2</v>
      </c>
      <c r="D57" s="12">
        <v>2</v>
      </c>
      <c r="E57" s="12">
        <v>2</v>
      </c>
      <c r="F57" s="12">
        <v>2</v>
      </c>
      <c r="G57" s="12">
        <v>2</v>
      </c>
      <c r="H57" s="12">
        <v>2</v>
      </c>
      <c r="I57" s="12">
        <v>2</v>
      </c>
      <c r="J57" s="12">
        <v>2</v>
      </c>
      <c r="K57" s="12">
        <v>2</v>
      </c>
      <c r="L57" s="12">
        <v>2</v>
      </c>
      <c r="M57" s="12">
        <v>2</v>
      </c>
      <c r="N57" s="12">
        <v>2</v>
      </c>
      <c r="O57" s="12">
        <v>2</v>
      </c>
      <c r="P57" s="18">
        <v>0</v>
      </c>
      <c r="Q57" s="12">
        <v>2</v>
      </c>
      <c r="R57" s="12">
        <v>2</v>
      </c>
      <c r="S57" s="12">
        <v>2</v>
      </c>
      <c r="T57" s="12">
        <v>2</v>
      </c>
      <c r="U57" s="12">
        <v>2</v>
      </c>
      <c r="V57" s="12">
        <v>2</v>
      </c>
      <c r="W57" s="12">
        <v>2</v>
      </c>
      <c r="X57" s="12">
        <v>2</v>
      </c>
      <c r="Y57" s="12">
        <v>1</v>
      </c>
      <c r="Z57" s="12">
        <v>2</v>
      </c>
      <c r="AA57" s="12">
        <v>2</v>
      </c>
      <c r="AB57" s="12">
        <v>2</v>
      </c>
      <c r="AC57" s="12">
        <v>0</v>
      </c>
      <c r="AD57" s="38">
        <v>2</v>
      </c>
    </row>
    <row r="58" spans="1:33" x14ac:dyDescent="0.25">
      <c r="A58" t="s">
        <v>286</v>
      </c>
      <c r="B58" s="9" t="s">
        <v>108</v>
      </c>
      <c r="C58" s="12">
        <f>IF(C57=2,1,0)</f>
        <v>1</v>
      </c>
      <c r="D58" s="12">
        <f t="shared" ref="D58:AG58" si="13">IF(D57=2,1,0)</f>
        <v>1</v>
      </c>
      <c r="E58" s="12">
        <f t="shared" si="13"/>
        <v>1</v>
      </c>
      <c r="F58" s="12">
        <f t="shared" si="13"/>
        <v>1</v>
      </c>
      <c r="G58" s="12">
        <f t="shared" si="13"/>
        <v>1</v>
      </c>
      <c r="H58" s="12">
        <f t="shared" si="13"/>
        <v>1</v>
      </c>
      <c r="I58" s="12">
        <f t="shared" si="13"/>
        <v>1</v>
      </c>
      <c r="J58" s="12">
        <f t="shared" si="13"/>
        <v>1</v>
      </c>
      <c r="K58" s="12">
        <f t="shared" si="13"/>
        <v>1</v>
      </c>
      <c r="L58" s="12">
        <f t="shared" si="13"/>
        <v>1</v>
      </c>
      <c r="M58" s="12">
        <f t="shared" si="13"/>
        <v>1</v>
      </c>
      <c r="N58" s="12">
        <f t="shared" si="13"/>
        <v>1</v>
      </c>
      <c r="O58" s="12">
        <f t="shared" si="13"/>
        <v>1</v>
      </c>
      <c r="P58" s="12">
        <f t="shared" si="13"/>
        <v>0</v>
      </c>
      <c r="Q58" s="12">
        <f t="shared" si="13"/>
        <v>1</v>
      </c>
      <c r="R58" s="12">
        <f t="shared" si="13"/>
        <v>1</v>
      </c>
      <c r="S58" s="12">
        <f t="shared" si="13"/>
        <v>1</v>
      </c>
      <c r="T58" s="12">
        <f t="shared" si="13"/>
        <v>1</v>
      </c>
      <c r="U58" s="12">
        <f t="shared" si="13"/>
        <v>1</v>
      </c>
      <c r="V58" s="12">
        <f t="shared" si="13"/>
        <v>1</v>
      </c>
      <c r="W58" s="12">
        <f t="shared" si="13"/>
        <v>1</v>
      </c>
      <c r="X58" s="12">
        <f t="shared" si="13"/>
        <v>1</v>
      </c>
      <c r="Y58" s="12">
        <f t="shared" si="13"/>
        <v>0</v>
      </c>
      <c r="Z58" s="12">
        <f t="shared" si="13"/>
        <v>1</v>
      </c>
      <c r="AA58" s="12">
        <f t="shared" si="13"/>
        <v>1</v>
      </c>
      <c r="AB58" s="12">
        <f t="shared" si="13"/>
        <v>1</v>
      </c>
      <c r="AC58" s="12">
        <f t="shared" si="13"/>
        <v>0</v>
      </c>
      <c r="AD58" s="35">
        <f t="shared" si="13"/>
        <v>1</v>
      </c>
      <c r="AE58" s="35">
        <f t="shared" si="13"/>
        <v>0</v>
      </c>
      <c r="AF58" s="35">
        <f t="shared" si="13"/>
        <v>0</v>
      </c>
      <c r="AG58" s="35">
        <f t="shared" si="13"/>
        <v>0</v>
      </c>
    </row>
    <row r="59" spans="1:33" x14ac:dyDescent="0.25">
      <c r="A59" t="s">
        <v>287</v>
      </c>
      <c r="B59" s="9" t="s">
        <v>157</v>
      </c>
      <c r="C59" s="12">
        <v>32</v>
      </c>
      <c r="D59" s="12">
        <v>28</v>
      </c>
      <c r="E59" s="12">
        <v>22</v>
      </c>
      <c r="F59" s="12">
        <v>13</v>
      </c>
      <c r="G59" s="12">
        <v>58</v>
      </c>
      <c r="H59" s="12">
        <v>105</v>
      </c>
      <c r="I59" s="12">
        <v>183</v>
      </c>
      <c r="J59" s="12">
        <v>88</v>
      </c>
      <c r="K59" s="12">
        <v>14</v>
      </c>
      <c r="L59" s="12">
        <v>125</v>
      </c>
      <c r="M59" s="12">
        <v>15</v>
      </c>
      <c r="N59" s="12">
        <v>4</v>
      </c>
      <c r="O59" s="12">
        <v>27</v>
      </c>
      <c r="P59" s="12">
        <v>1</v>
      </c>
      <c r="Q59" s="12">
        <v>10</v>
      </c>
      <c r="R59" s="12">
        <v>58</v>
      </c>
      <c r="S59" s="12">
        <v>8</v>
      </c>
      <c r="T59" s="12">
        <v>29</v>
      </c>
      <c r="U59" s="12">
        <v>37</v>
      </c>
      <c r="V59" s="12">
        <v>13</v>
      </c>
      <c r="W59" s="12">
        <v>26</v>
      </c>
      <c r="X59" s="12">
        <v>129</v>
      </c>
      <c r="Y59" s="12">
        <v>20</v>
      </c>
      <c r="Z59" s="12">
        <v>66</v>
      </c>
      <c r="AA59" s="12">
        <v>40</v>
      </c>
      <c r="AB59" s="12">
        <v>123</v>
      </c>
      <c r="AC59" s="12">
        <v>76</v>
      </c>
      <c r="AD59" s="38">
        <v>13</v>
      </c>
    </row>
    <row r="60" spans="1:33" x14ac:dyDescent="0.25">
      <c r="A60" t="s">
        <v>288</v>
      </c>
      <c r="B60" s="9" t="s">
        <v>161</v>
      </c>
      <c r="C60" s="12">
        <f>C13-C59</f>
        <v>5</v>
      </c>
      <c r="D60" s="12">
        <f t="shared" ref="D60:AG60" si="14">D13-D59</f>
        <v>517</v>
      </c>
      <c r="E60" s="12">
        <f t="shared" si="14"/>
        <v>14</v>
      </c>
      <c r="F60" s="12">
        <f t="shared" si="14"/>
        <v>660</v>
      </c>
      <c r="G60" s="12">
        <f t="shared" si="14"/>
        <v>221</v>
      </c>
      <c r="H60" s="12">
        <f t="shared" si="14"/>
        <v>-52</v>
      </c>
      <c r="I60" s="12">
        <f t="shared" si="14"/>
        <v>7</v>
      </c>
      <c r="J60" s="12">
        <f t="shared" si="14"/>
        <v>13</v>
      </c>
      <c r="K60" s="12">
        <f t="shared" si="14"/>
        <v>105</v>
      </c>
      <c r="L60" s="12">
        <f t="shared" si="14"/>
        <v>-20</v>
      </c>
      <c r="M60" s="12">
        <f t="shared" si="14"/>
        <v>32</v>
      </c>
      <c r="N60" s="12">
        <f t="shared" si="14"/>
        <v>325</v>
      </c>
      <c r="O60" s="12">
        <f t="shared" si="14"/>
        <v>3</v>
      </c>
      <c r="P60" s="12">
        <f t="shared" si="14"/>
        <v>80</v>
      </c>
      <c r="Q60" s="12">
        <f t="shared" si="14"/>
        <v>86</v>
      </c>
      <c r="R60" s="12">
        <f t="shared" si="14"/>
        <v>53</v>
      </c>
      <c r="S60" s="12">
        <f t="shared" si="14"/>
        <v>106</v>
      </c>
      <c r="T60" s="12">
        <f t="shared" si="14"/>
        <v>126</v>
      </c>
      <c r="U60" s="12">
        <f t="shared" si="14"/>
        <v>7</v>
      </c>
      <c r="V60" s="12">
        <f t="shared" si="14"/>
        <v>303</v>
      </c>
      <c r="W60" s="12">
        <f t="shared" si="14"/>
        <v>21</v>
      </c>
      <c r="X60" s="12">
        <f t="shared" si="14"/>
        <v>274</v>
      </c>
      <c r="Y60" s="12">
        <f t="shared" si="14"/>
        <v>48</v>
      </c>
      <c r="Z60" s="12">
        <f t="shared" si="14"/>
        <v>102</v>
      </c>
      <c r="AA60" s="12">
        <f t="shared" si="14"/>
        <v>0</v>
      </c>
      <c r="AB60" s="12">
        <f t="shared" si="14"/>
        <v>-13</v>
      </c>
      <c r="AC60" s="12">
        <f t="shared" si="14"/>
        <v>-65</v>
      </c>
      <c r="AD60" s="35">
        <f t="shared" si="14"/>
        <v>102</v>
      </c>
      <c r="AE60" s="35">
        <f t="shared" si="14"/>
        <v>0</v>
      </c>
      <c r="AF60" s="35">
        <f t="shared" si="14"/>
        <v>0</v>
      </c>
      <c r="AG60" s="35">
        <f t="shared" si="14"/>
        <v>0</v>
      </c>
    </row>
    <row r="61" spans="1:33" x14ac:dyDescent="0.25">
      <c r="A61" t="s">
        <v>295</v>
      </c>
      <c r="B61" s="9" t="s">
        <v>294</v>
      </c>
      <c r="V61" s="12"/>
      <c r="W61" s="12"/>
      <c r="X61" s="12"/>
      <c r="Y61" s="12"/>
      <c r="Z61" s="12"/>
      <c r="AA61" s="12"/>
      <c r="AB61" s="12"/>
    </row>
    <row r="62" spans="1:33" x14ac:dyDescent="0.25">
      <c r="A62" t="s">
        <v>296</v>
      </c>
      <c r="B62" s="8" t="s">
        <v>22</v>
      </c>
      <c r="C62" s="12">
        <v>2</v>
      </c>
      <c r="D62" s="12">
        <v>2</v>
      </c>
      <c r="E62" s="12">
        <v>3</v>
      </c>
      <c r="F62" s="12">
        <v>0</v>
      </c>
      <c r="G62" s="12">
        <v>2</v>
      </c>
      <c r="H62" s="12">
        <v>2</v>
      </c>
      <c r="I62" s="12">
        <v>3</v>
      </c>
      <c r="J62" s="12">
        <v>0</v>
      </c>
      <c r="K62" s="12">
        <v>0</v>
      </c>
      <c r="L62" s="12">
        <v>2</v>
      </c>
      <c r="M62" s="12">
        <v>1</v>
      </c>
      <c r="N62" s="12">
        <v>2</v>
      </c>
      <c r="O62" s="12">
        <v>2</v>
      </c>
      <c r="P62" s="18">
        <v>0</v>
      </c>
      <c r="Q62" s="12">
        <v>2</v>
      </c>
      <c r="R62" s="12">
        <v>3</v>
      </c>
      <c r="S62" s="12">
        <v>2</v>
      </c>
      <c r="T62" s="12">
        <v>3</v>
      </c>
      <c r="U62" s="12">
        <v>2</v>
      </c>
      <c r="V62" s="12">
        <v>1</v>
      </c>
      <c r="W62" s="12">
        <v>2</v>
      </c>
      <c r="X62" s="12">
        <v>2</v>
      </c>
      <c r="Y62" s="12">
        <v>2</v>
      </c>
      <c r="Z62" s="12">
        <v>0</v>
      </c>
      <c r="AA62" s="12">
        <v>3</v>
      </c>
      <c r="AB62" s="12">
        <v>2</v>
      </c>
      <c r="AC62" s="12">
        <v>3</v>
      </c>
      <c r="AD62" s="38">
        <v>2</v>
      </c>
    </row>
    <row r="63" spans="1:33" x14ac:dyDescent="0.25">
      <c r="A63" t="s">
        <v>297</v>
      </c>
      <c r="B63" s="9" t="s">
        <v>109</v>
      </c>
      <c r="C63" s="12">
        <f>IF(C62=2,1,0)</f>
        <v>1</v>
      </c>
      <c r="D63" s="12">
        <f t="shared" ref="D63:AG63" si="15">IF(D62=2,1,0)</f>
        <v>1</v>
      </c>
      <c r="E63" s="12">
        <f t="shared" si="15"/>
        <v>0</v>
      </c>
      <c r="F63" s="12">
        <f t="shared" si="15"/>
        <v>0</v>
      </c>
      <c r="G63" s="12">
        <f t="shared" si="15"/>
        <v>1</v>
      </c>
      <c r="H63" s="12">
        <f t="shared" si="15"/>
        <v>1</v>
      </c>
      <c r="I63" s="12">
        <f t="shared" si="15"/>
        <v>0</v>
      </c>
      <c r="J63" s="12">
        <f t="shared" si="15"/>
        <v>0</v>
      </c>
      <c r="K63" s="12">
        <f t="shared" si="15"/>
        <v>0</v>
      </c>
      <c r="L63" s="12">
        <f t="shared" si="15"/>
        <v>1</v>
      </c>
      <c r="M63" s="12">
        <f t="shared" si="15"/>
        <v>0</v>
      </c>
      <c r="N63" s="12">
        <f t="shared" si="15"/>
        <v>1</v>
      </c>
      <c r="O63" s="12">
        <f t="shared" si="15"/>
        <v>1</v>
      </c>
      <c r="P63" s="12">
        <f t="shared" si="15"/>
        <v>0</v>
      </c>
      <c r="Q63" s="12">
        <f t="shared" si="15"/>
        <v>1</v>
      </c>
      <c r="R63" s="12">
        <f t="shared" si="15"/>
        <v>0</v>
      </c>
      <c r="S63" s="12">
        <f t="shared" si="15"/>
        <v>1</v>
      </c>
      <c r="T63" s="12">
        <f t="shared" si="15"/>
        <v>0</v>
      </c>
      <c r="U63" s="12">
        <f t="shared" si="15"/>
        <v>1</v>
      </c>
      <c r="V63" s="12">
        <f t="shared" si="15"/>
        <v>0</v>
      </c>
      <c r="W63" s="12">
        <f t="shared" si="15"/>
        <v>1</v>
      </c>
      <c r="X63" s="12">
        <f t="shared" si="15"/>
        <v>1</v>
      </c>
      <c r="Y63" s="12">
        <f t="shared" si="15"/>
        <v>1</v>
      </c>
      <c r="Z63" s="12">
        <f t="shared" si="15"/>
        <v>0</v>
      </c>
      <c r="AA63" s="12">
        <f t="shared" si="15"/>
        <v>0</v>
      </c>
      <c r="AB63" s="12">
        <f t="shared" si="15"/>
        <v>1</v>
      </c>
      <c r="AC63" s="12">
        <f t="shared" si="15"/>
        <v>0</v>
      </c>
      <c r="AD63" s="35">
        <f t="shared" si="15"/>
        <v>1</v>
      </c>
      <c r="AE63" s="35">
        <f t="shared" si="15"/>
        <v>0</v>
      </c>
      <c r="AF63" s="35">
        <f t="shared" si="15"/>
        <v>0</v>
      </c>
      <c r="AG63" s="35">
        <f t="shared" si="15"/>
        <v>0</v>
      </c>
    </row>
    <row r="64" spans="1:33" x14ac:dyDescent="0.25">
      <c r="A64" t="s">
        <v>298</v>
      </c>
      <c r="B64" s="9" t="s">
        <v>158</v>
      </c>
      <c r="C64" s="12">
        <v>154</v>
      </c>
      <c r="D64" s="12">
        <v>94</v>
      </c>
      <c r="E64" s="12">
        <v>127</v>
      </c>
      <c r="F64" s="12">
        <v>268</v>
      </c>
      <c r="G64" s="12">
        <v>314</v>
      </c>
      <c r="H64" s="12">
        <v>202</v>
      </c>
      <c r="I64" s="12">
        <v>109</v>
      </c>
      <c r="J64" s="12">
        <v>295</v>
      </c>
      <c r="K64" s="12">
        <v>958</v>
      </c>
      <c r="L64" s="12">
        <v>288</v>
      </c>
      <c r="M64" s="12">
        <v>25</v>
      </c>
      <c r="N64" s="12">
        <v>118</v>
      </c>
      <c r="O64" s="12">
        <v>232</v>
      </c>
      <c r="P64" s="12">
        <v>1</v>
      </c>
      <c r="Q64" s="12">
        <v>92</v>
      </c>
      <c r="R64" s="12">
        <v>22</v>
      </c>
      <c r="S64" s="12">
        <v>117</v>
      </c>
      <c r="T64" s="12">
        <v>228</v>
      </c>
      <c r="U64" s="12">
        <v>251</v>
      </c>
      <c r="V64" s="12">
        <v>215</v>
      </c>
      <c r="W64" s="12">
        <v>77</v>
      </c>
      <c r="X64" s="12">
        <v>308</v>
      </c>
      <c r="Y64" s="12">
        <v>14</v>
      </c>
      <c r="Z64" s="12">
        <v>305</v>
      </c>
      <c r="AA64" s="12">
        <v>42</v>
      </c>
      <c r="AB64" s="12">
        <v>286</v>
      </c>
      <c r="AC64" s="12">
        <v>20</v>
      </c>
      <c r="AD64" s="38">
        <v>353</v>
      </c>
    </row>
    <row r="65" spans="1:33" x14ac:dyDescent="0.25">
      <c r="A65" t="s">
        <v>299</v>
      </c>
      <c r="B65" s="9" t="s">
        <v>159</v>
      </c>
      <c r="C65" s="12">
        <f>C22+C25+C28+C31+C34+C37+C40+C43+C46+C49+C52+C55+C58+C63</f>
        <v>14</v>
      </c>
      <c r="D65" s="12">
        <f t="shared" ref="D65:AB65" si="16">D22+D25+D28+D31+D34+D37+D40+D43+D46+D49+D52+D55+D58+D63</f>
        <v>11</v>
      </c>
      <c r="E65" s="12">
        <f t="shared" si="16"/>
        <v>12</v>
      </c>
      <c r="F65" s="12">
        <f t="shared" si="16"/>
        <v>7</v>
      </c>
      <c r="G65" s="12">
        <f t="shared" si="16"/>
        <v>11</v>
      </c>
      <c r="H65" s="12">
        <f t="shared" si="16"/>
        <v>11</v>
      </c>
      <c r="I65" s="12">
        <f t="shared" si="16"/>
        <v>10</v>
      </c>
      <c r="J65" s="12">
        <f t="shared" si="16"/>
        <v>7</v>
      </c>
      <c r="K65" s="12">
        <f t="shared" si="16"/>
        <v>9</v>
      </c>
      <c r="L65" s="12">
        <f t="shared" si="16"/>
        <v>11</v>
      </c>
      <c r="M65" s="12">
        <f t="shared" si="16"/>
        <v>10</v>
      </c>
      <c r="N65" s="12">
        <f t="shared" si="16"/>
        <v>14</v>
      </c>
      <c r="O65" s="12">
        <f t="shared" si="16"/>
        <v>13</v>
      </c>
      <c r="P65" s="12">
        <f t="shared" si="16"/>
        <v>3</v>
      </c>
      <c r="Q65" s="12">
        <f t="shared" si="16"/>
        <v>10</v>
      </c>
      <c r="R65" s="12">
        <f t="shared" si="16"/>
        <v>8</v>
      </c>
      <c r="S65" s="12">
        <f t="shared" si="16"/>
        <v>8</v>
      </c>
      <c r="T65" s="12">
        <f t="shared" si="16"/>
        <v>8</v>
      </c>
      <c r="U65" s="12">
        <f t="shared" si="16"/>
        <v>12</v>
      </c>
      <c r="V65" s="12">
        <f t="shared" si="16"/>
        <v>11</v>
      </c>
      <c r="W65" s="12">
        <f t="shared" si="16"/>
        <v>13</v>
      </c>
      <c r="X65" s="12">
        <f t="shared" si="16"/>
        <v>14</v>
      </c>
      <c r="Y65" s="12">
        <f t="shared" si="16"/>
        <v>4</v>
      </c>
      <c r="Z65" s="12">
        <f t="shared" si="16"/>
        <v>11</v>
      </c>
      <c r="AA65" s="12">
        <f t="shared" si="16"/>
        <v>8</v>
      </c>
      <c r="AB65" s="12">
        <f t="shared" si="16"/>
        <v>9</v>
      </c>
      <c r="AC65" s="12">
        <f t="shared" ref="AC65:AG65" si="17">AC22+AC25+AC28+AC31+AC34+AC37+AC40+AC43+AC46+AC49+AC52+AC55+AC58+AC63</f>
        <v>2</v>
      </c>
      <c r="AD65" s="35">
        <f t="shared" si="17"/>
        <v>12</v>
      </c>
      <c r="AE65" s="35">
        <f t="shared" si="17"/>
        <v>4</v>
      </c>
      <c r="AF65" s="35">
        <f t="shared" si="17"/>
        <v>4</v>
      </c>
      <c r="AG65" s="35">
        <f t="shared" si="17"/>
        <v>4</v>
      </c>
    </row>
    <row r="66" spans="1:33" x14ac:dyDescent="0.25">
      <c r="A66" t="s">
        <v>300</v>
      </c>
      <c r="B66" s="9" t="s">
        <v>160</v>
      </c>
      <c r="C66" s="12">
        <f>C23+C26+C29+C32+C35+C38+C41+C41+C44+C47+C50+C53+C59+C64</f>
        <v>490</v>
      </c>
      <c r="D66" s="12">
        <f t="shared" ref="D66:AB66" si="18">D23+D26+D29+D32+D35+D38+D41+D41+D44+D47+D50+D53+D59+D64</f>
        <v>402</v>
      </c>
      <c r="E66" s="12">
        <f t="shared" si="18"/>
        <v>349</v>
      </c>
      <c r="F66" s="12">
        <f t="shared" si="18"/>
        <v>1143</v>
      </c>
      <c r="G66" s="12">
        <f t="shared" si="18"/>
        <v>988</v>
      </c>
      <c r="H66" s="12">
        <f t="shared" si="18"/>
        <v>647</v>
      </c>
      <c r="I66" s="12">
        <f t="shared" si="18"/>
        <v>1245</v>
      </c>
      <c r="J66" s="12">
        <f t="shared" si="18"/>
        <v>1225</v>
      </c>
      <c r="K66" s="12">
        <f t="shared" si="18"/>
        <v>1890</v>
      </c>
      <c r="L66" s="12">
        <f t="shared" si="18"/>
        <v>1487</v>
      </c>
      <c r="M66" s="12">
        <f t="shared" si="18"/>
        <v>317</v>
      </c>
      <c r="N66" s="12">
        <f t="shared" si="18"/>
        <v>438</v>
      </c>
      <c r="O66" s="12">
        <f t="shared" si="18"/>
        <v>465</v>
      </c>
      <c r="P66" s="12">
        <f t="shared" si="18"/>
        <v>197</v>
      </c>
      <c r="Q66" s="12">
        <f t="shared" si="18"/>
        <v>423</v>
      </c>
      <c r="R66" s="12">
        <f t="shared" si="18"/>
        <v>432</v>
      </c>
      <c r="S66" s="12">
        <f t="shared" si="18"/>
        <v>585</v>
      </c>
      <c r="T66" s="12">
        <f t="shared" si="18"/>
        <v>585</v>
      </c>
      <c r="U66" s="12">
        <f t="shared" si="18"/>
        <v>686</v>
      </c>
      <c r="V66" s="12">
        <f t="shared" si="18"/>
        <v>765</v>
      </c>
      <c r="W66" s="12">
        <f t="shared" si="18"/>
        <v>444</v>
      </c>
      <c r="X66" s="12">
        <f t="shared" si="18"/>
        <v>1141</v>
      </c>
      <c r="Y66" s="12">
        <f t="shared" si="18"/>
        <v>457</v>
      </c>
      <c r="Z66" s="12">
        <f t="shared" si="18"/>
        <v>749</v>
      </c>
      <c r="AA66" s="12">
        <f t="shared" si="18"/>
        <v>358</v>
      </c>
      <c r="AB66" s="12">
        <f t="shared" si="18"/>
        <v>907</v>
      </c>
      <c r="AC66" s="12">
        <f t="shared" ref="AC66:AG66" si="19">AC23+AC26+AC29+AC32+AC35+AC38+AC41+AC41+AC44+AC47+AC50+AC53+AC59+AC64</f>
        <v>347</v>
      </c>
      <c r="AD66" s="35">
        <f t="shared" si="19"/>
        <v>833</v>
      </c>
      <c r="AE66" s="35">
        <f t="shared" si="19"/>
        <v>0</v>
      </c>
      <c r="AF66" s="35">
        <f t="shared" si="19"/>
        <v>0</v>
      </c>
      <c r="AG66" s="35">
        <f t="shared" si="19"/>
        <v>0</v>
      </c>
    </row>
    <row r="67" spans="1:33" x14ac:dyDescent="0.25">
      <c r="B67" s="10" t="s">
        <v>23</v>
      </c>
      <c r="P67" s="18"/>
    </row>
    <row r="68" spans="1:33" x14ac:dyDescent="0.25">
      <c r="B68" s="11" t="s">
        <v>113</v>
      </c>
      <c r="C68" s="12">
        <v>4</v>
      </c>
      <c r="D68" s="12">
        <v>4</v>
      </c>
      <c r="E68" s="12">
        <v>4</v>
      </c>
      <c r="F68" s="12">
        <v>4</v>
      </c>
      <c r="G68" s="12">
        <v>0</v>
      </c>
      <c r="H68" s="12">
        <v>4</v>
      </c>
      <c r="I68" s="12">
        <v>4</v>
      </c>
      <c r="J68" s="12">
        <v>3</v>
      </c>
      <c r="K68" s="12">
        <v>2</v>
      </c>
      <c r="L68" s="12">
        <v>4</v>
      </c>
      <c r="M68" s="12">
        <v>0</v>
      </c>
      <c r="N68" s="12">
        <v>4</v>
      </c>
      <c r="O68" s="12">
        <v>4</v>
      </c>
      <c r="P68" s="18">
        <v>0</v>
      </c>
      <c r="Q68" s="12">
        <v>4</v>
      </c>
      <c r="R68" s="12">
        <v>4</v>
      </c>
      <c r="S68" s="19">
        <v>4</v>
      </c>
      <c r="T68" s="12">
        <v>4</v>
      </c>
      <c r="U68" s="12">
        <v>3</v>
      </c>
      <c r="V68" s="12">
        <v>4</v>
      </c>
      <c r="W68" s="12">
        <v>4</v>
      </c>
      <c r="X68" s="12">
        <v>4</v>
      </c>
      <c r="Y68" s="12">
        <v>3</v>
      </c>
      <c r="Z68" s="12">
        <v>4</v>
      </c>
      <c r="AA68" s="12">
        <v>4</v>
      </c>
      <c r="AB68" s="12">
        <v>3</v>
      </c>
      <c r="AC68" s="12">
        <v>4</v>
      </c>
      <c r="AD68" s="38">
        <v>4</v>
      </c>
    </row>
    <row r="69" spans="1:33" x14ac:dyDescent="0.25">
      <c r="B69" s="11" t="s">
        <v>114</v>
      </c>
      <c r="C69" s="12">
        <v>0</v>
      </c>
      <c r="D69" s="12">
        <v>3</v>
      </c>
      <c r="E69" s="12">
        <v>1</v>
      </c>
      <c r="F69" s="12">
        <v>4</v>
      </c>
      <c r="G69" s="12">
        <v>3</v>
      </c>
      <c r="H69" s="12">
        <v>3</v>
      </c>
      <c r="I69" s="12">
        <v>3</v>
      </c>
      <c r="J69" s="12">
        <v>3</v>
      </c>
      <c r="K69" s="12">
        <v>2</v>
      </c>
      <c r="L69" s="12">
        <v>4</v>
      </c>
      <c r="M69" s="12">
        <v>3</v>
      </c>
      <c r="N69" s="12">
        <v>4</v>
      </c>
      <c r="O69" s="12">
        <v>3</v>
      </c>
      <c r="P69" s="18">
        <v>0</v>
      </c>
      <c r="Q69" s="12">
        <v>1</v>
      </c>
      <c r="R69" s="12">
        <v>3</v>
      </c>
      <c r="S69" s="19">
        <v>4</v>
      </c>
      <c r="T69" s="12">
        <v>4</v>
      </c>
      <c r="U69" s="12">
        <v>4</v>
      </c>
      <c r="V69" s="12">
        <v>4</v>
      </c>
      <c r="W69" s="12">
        <v>1</v>
      </c>
      <c r="X69" s="12">
        <v>4</v>
      </c>
      <c r="Y69" s="12">
        <v>2</v>
      </c>
      <c r="Z69" s="12">
        <v>0</v>
      </c>
      <c r="AA69" s="12">
        <v>3</v>
      </c>
      <c r="AB69" s="12">
        <v>3</v>
      </c>
      <c r="AC69" s="12">
        <v>1</v>
      </c>
      <c r="AD69" s="38">
        <v>2</v>
      </c>
    </row>
    <row r="70" spans="1:33" x14ac:dyDescent="0.25">
      <c r="B70" s="11" t="s">
        <v>115</v>
      </c>
      <c r="C70" s="12">
        <v>0</v>
      </c>
      <c r="D70" s="12">
        <v>4</v>
      </c>
      <c r="E70" s="12">
        <v>1</v>
      </c>
      <c r="F70" s="12">
        <v>4</v>
      </c>
      <c r="G70" s="12">
        <v>3</v>
      </c>
      <c r="H70" s="12">
        <v>3</v>
      </c>
      <c r="I70" s="12">
        <v>4</v>
      </c>
      <c r="J70" s="12">
        <v>3</v>
      </c>
      <c r="K70" s="12">
        <v>2</v>
      </c>
      <c r="L70" s="12">
        <v>4</v>
      </c>
      <c r="M70" s="12">
        <v>3</v>
      </c>
      <c r="N70" s="12">
        <v>4</v>
      </c>
      <c r="O70" s="12">
        <v>3</v>
      </c>
      <c r="P70" s="18">
        <v>0</v>
      </c>
      <c r="Q70" s="12">
        <v>1</v>
      </c>
      <c r="R70" s="12">
        <v>3</v>
      </c>
      <c r="S70" s="19">
        <v>4</v>
      </c>
      <c r="T70" s="12">
        <v>4</v>
      </c>
      <c r="U70" s="12">
        <v>4</v>
      </c>
      <c r="V70" s="12">
        <v>4</v>
      </c>
      <c r="W70" s="12">
        <v>3</v>
      </c>
      <c r="X70" s="12">
        <v>4</v>
      </c>
      <c r="Y70" s="12">
        <v>0</v>
      </c>
      <c r="Z70" s="12">
        <v>4</v>
      </c>
      <c r="AA70" s="12">
        <v>3</v>
      </c>
      <c r="AB70" s="12">
        <v>2</v>
      </c>
      <c r="AC70" s="12">
        <v>2</v>
      </c>
      <c r="AD70" s="38">
        <v>1</v>
      </c>
    </row>
    <row r="71" spans="1:33" x14ac:dyDescent="0.25">
      <c r="B71" s="11" t="s">
        <v>116</v>
      </c>
      <c r="C71" s="12">
        <v>2</v>
      </c>
      <c r="D71" s="12">
        <v>4</v>
      </c>
      <c r="E71" s="12">
        <v>3</v>
      </c>
      <c r="F71" s="12">
        <v>4</v>
      </c>
      <c r="G71" s="12">
        <v>3</v>
      </c>
      <c r="H71" s="12">
        <v>4</v>
      </c>
      <c r="I71" s="12">
        <v>4</v>
      </c>
      <c r="J71" s="12">
        <v>2</v>
      </c>
      <c r="K71" s="12">
        <v>2</v>
      </c>
      <c r="L71" s="12">
        <v>4</v>
      </c>
      <c r="M71" s="12">
        <v>3</v>
      </c>
      <c r="N71" s="12">
        <v>4</v>
      </c>
      <c r="O71" s="12">
        <v>4</v>
      </c>
      <c r="P71" s="18">
        <v>0</v>
      </c>
      <c r="Q71" s="12">
        <v>3</v>
      </c>
      <c r="R71" s="12">
        <v>2</v>
      </c>
      <c r="S71" s="19">
        <v>4</v>
      </c>
      <c r="T71" s="12">
        <v>4</v>
      </c>
      <c r="U71" s="12">
        <v>1</v>
      </c>
      <c r="V71" s="12">
        <v>3</v>
      </c>
      <c r="W71" s="12">
        <v>1</v>
      </c>
      <c r="X71" s="12">
        <v>4</v>
      </c>
      <c r="Y71" s="12">
        <v>1</v>
      </c>
      <c r="Z71" s="12">
        <v>4</v>
      </c>
      <c r="AA71" s="12">
        <v>4</v>
      </c>
      <c r="AB71" s="12">
        <v>4</v>
      </c>
      <c r="AC71" s="12">
        <v>3</v>
      </c>
      <c r="AD71" s="38">
        <v>1</v>
      </c>
    </row>
    <row r="72" spans="1:33" x14ac:dyDescent="0.25">
      <c r="B72" s="11" t="s">
        <v>117</v>
      </c>
      <c r="C72" s="12">
        <v>4</v>
      </c>
      <c r="D72" s="12">
        <v>4</v>
      </c>
      <c r="E72" s="12">
        <v>3</v>
      </c>
      <c r="F72" s="12">
        <v>4</v>
      </c>
      <c r="G72" s="12">
        <v>4</v>
      </c>
      <c r="H72" s="12">
        <v>3</v>
      </c>
      <c r="I72" s="12">
        <v>4</v>
      </c>
      <c r="J72" s="12">
        <v>3</v>
      </c>
      <c r="K72" s="12">
        <v>3</v>
      </c>
      <c r="L72" s="12">
        <v>4</v>
      </c>
      <c r="M72" s="12">
        <v>4</v>
      </c>
      <c r="N72" s="12">
        <v>4</v>
      </c>
      <c r="O72" s="12">
        <v>4</v>
      </c>
      <c r="P72" s="18">
        <v>0</v>
      </c>
      <c r="Q72" s="12">
        <v>4</v>
      </c>
      <c r="R72" s="12">
        <v>4</v>
      </c>
      <c r="S72" s="19">
        <v>4</v>
      </c>
      <c r="T72" s="12">
        <v>4</v>
      </c>
      <c r="U72" s="12">
        <v>3</v>
      </c>
      <c r="V72" s="12">
        <v>4</v>
      </c>
      <c r="W72" s="12">
        <v>4</v>
      </c>
      <c r="X72" s="12">
        <v>4</v>
      </c>
      <c r="Y72" s="12">
        <v>2</v>
      </c>
      <c r="Z72" s="12">
        <v>4</v>
      </c>
      <c r="AA72" s="12">
        <v>4</v>
      </c>
      <c r="AB72" s="12">
        <v>4</v>
      </c>
      <c r="AC72" s="12">
        <v>2</v>
      </c>
      <c r="AD72" s="38">
        <v>3</v>
      </c>
    </row>
    <row r="73" spans="1:33" x14ac:dyDescent="0.25">
      <c r="B73" s="11" t="s">
        <v>118</v>
      </c>
      <c r="C73" s="12">
        <v>4</v>
      </c>
      <c r="D73" s="12">
        <v>4</v>
      </c>
      <c r="E73" s="12">
        <v>4</v>
      </c>
      <c r="F73" s="12">
        <v>4</v>
      </c>
      <c r="G73" s="12">
        <v>4</v>
      </c>
      <c r="H73" s="12">
        <v>3</v>
      </c>
      <c r="I73" s="12">
        <v>4</v>
      </c>
      <c r="J73" s="12">
        <v>4</v>
      </c>
      <c r="K73" s="12">
        <v>3</v>
      </c>
      <c r="L73" s="12">
        <v>4</v>
      </c>
      <c r="M73" s="12">
        <v>4</v>
      </c>
      <c r="N73" s="12">
        <v>4</v>
      </c>
      <c r="O73" s="12">
        <v>4</v>
      </c>
      <c r="P73" s="18">
        <v>0</v>
      </c>
      <c r="Q73" s="12">
        <v>4</v>
      </c>
      <c r="R73" s="12">
        <v>4</v>
      </c>
      <c r="S73" s="19">
        <v>4</v>
      </c>
      <c r="T73" s="12">
        <v>4</v>
      </c>
      <c r="U73" s="12">
        <v>4</v>
      </c>
      <c r="V73" s="12">
        <v>4</v>
      </c>
      <c r="W73" s="12">
        <v>4</v>
      </c>
      <c r="X73" s="12">
        <v>4</v>
      </c>
      <c r="Y73" s="12">
        <v>3</v>
      </c>
      <c r="Z73" s="12">
        <v>4</v>
      </c>
      <c r="AA73" s="12">
        <v>4</v>
      </c>
      <c r="AB73" s="12">
        <v>4</v>
      </c>
      <c r="AC73" s="12">
        <v>4</v>
      </c>
      <c r="AD73" s="38">
        <v>4</v>
      </c>
    </row>
    <row r="74" spans="1:33" x14ac:dyDescent="0.25">
      <c r="B74" s="11" t="s">
        <v>119</v>
      </c>
      <c r="C74" s="12">
        <v>3</v>
      </c>
      <c r="D74" s="12">
        <v>4</v>
      </c>
      <c r="E74" s="12">
        <v>4</v>
      </c>
      <c r="F74" s="12">
        <v>4</v>
      </c>
      <c r="G74" s="12">
        <v>3</v>
      </c>
      <c r="H74" s="12">
        <v>3</v>
      </c>
      <c r="I74" s="12">
        <v>4</v>
      </c>
      <c r="J74" s="12">
        <v>3</v>
      </c>
      <c r="K74" s="12">
        <v>3</v>
      </c>
      <c r="L74" s="12">
        <v>4</v>
      </c>
      <c r="M74" s="12">
        <v>4</v>
      </c>
      <c r="N74" s="12">
        <v>4</v>
      </c>
      <c r="O74" s="12">
        <v>3</v>
      </c>
      <c r="P74" s="18">
        <v>0</v>
      </c>
      <c r="Q74" s="12">
        <v>4</v>
      </c>
      <c r="R74" s="12">
        <v>4</v>
      </c>
      <c r="S74" s="19">
        <v>4</v>
      </c>
      <c r="T74" s="12">
        <v>4</v>
      </c>
      <c r="U74" s="12">
        <v>4</v>
      </c>
      <c r="V74" s="12">
        <v>4</v>
      </c>
      <c r="W74" s="12">
        <v>4</v>
      </c>
      <c r="X74" s="12">
        <v>4</v>
      </c>
      <c r="Y74" s="12">
        <v>3</v>
      </c>
      <c r="Z74" s="12">
        <v>4</v>
      </c>
      <c r="AA74" s="12">
        <v>4</v>
      </c>
      <c r="AB74" s="12">
        <v>4</v>
      </c>
      <c r="AC74" s="12">
        <v>4</v>
      </c>
      <c r="AD74" s="38">
        <v>4</v>
      </c>
    </row>
    <row r="75" spans="1:33" x14ac:dyDescent="0.25">
      <c r="B75" s="11" t="s">
        <v>120</v>
      </c>
      <c r="C75" s="12">
        <v>3</v>
      </c>
      <c r="D75" s="12">
        <v>4</v>
      </c>
      <c r="E75" s="12">
        <v>3</v>
      </c>
      <c r="F75" s="12">
        <v>4</v>
      </c>
      <c r="G75" s="12">
        <v>4</v>
      </c>
      <c r="H75" s="12">
        <v>4</v>
      </c>
      <c r="I75" s="12">
        <v>4</v>
      </c>
      <c r="J75" s="12">
        <v>3</v>
      </c>
      <c r="K75" s="12">
        <v>3</v>
      </c>
      <c r="L75" s="12">
        <v>4</v>
      </c>
      <c r="M75" s="12">
        <v>1</v>
      </c>
      <c r="N75" s="12">
        <v>4</v>
      </c>
      <c r="O75" s="12">
        <v>4</v>
      </c>
      <c r="P75" s="18">
        <v>0</v>
      </c>
      <c r="Q75" s="12">
        <v>4</v>
      </c>
      <c r="R75" s="12">
        <v>4</v>
      </c>
      <c r="S75" s="19">
        <v>4</v>
      </c>
      <c r="T75" s="12">
        <v>4</v>
      </c>
      <c r="U75" s="12">
        <v>4</v>
      </c>
      <c r="V75" s="12">
        <v>2</v>
      </c>
      <c r="W75" s="12">
        <v>0</v>
      </c>
      <c r="X75" s="12">
        <v>3</v>
      </c>
      <c r="Y75" s="12">
        <v>2</v>
      </c>
      <c r="Z75" s="12">
        <v>4</v>
      </c>
      <c r="AA75" s="12">
        <v>3</v>
      </c>
      <c r="AB75" s="12">
        <v>4</v>
      </c>
      <c r="AC75" s="12">
        <v>4</v>
      </c>
      <c r="AD75" s="38">
        <v>2</v>
      </c>
    </row>
    <row r="76" spans="1:33" x14ac:dyDescent="0.25">
      <c r="B76" s="11" t="s">
        <v>121</v>
      </c>
      <c r="C76" s="12">
        <v>1</v>
      </c>
      <c r="D76" s="12">
        <v>4</v>
      </c>
      <c r="E76" s="12">
        <v>3</v>
      </c>
      <c r="F76" s="12">
        <v>4</v>
      </c>
      <c r="G76" s="12">
        <v>4</v>
      </c>
      <c r="H76" s="12">
        <v>4</v>
      </c>
      <c r="I76" s="12">
        <v>4</v>
      </c>
      <c r="J76" s="12">
        <v>3</v>
      </c>
      <c r="K76" s="12">
        <v>3</v>
      </c>
      <c r="L76" s="12">
        <v>4</v>
      </c>
      <c r="M76" s="12">
        <v>1</v>
      </c>
      <c r="N76" s="12">
        <v>4</v>
      </c>
      <c r="O76" s="12">
        <v>4</v>
      </c>
      <c r="P76" s="18">
        <v>0</v>
      </c>
      <c r="Q76" s="12">
        <v>4</v>
      </c>
      <c r="R76" s="12">
        <v>4</v>
      </c>
      <c r="S76" s="19">
        <v>4</v>
      </c>
      <c r="T76" s="12">
        <v>4</v>
      </c>
      <c r="U76" s="12">
        <v>4</v>
      </c>
      <c r="V76" s="12">
        <v>4</v>
      </c>
      <c r="W76" s="12">
        <v>1</v>
      </c>
      <c r="X76" s="12">
        <v>3</v>
      </c>
      <c r="Y76" s="12">
        <v>3</v>
      </c>
      <c r="Z76" s="12">
        <v>4</v>
      </c>
      <c r="AA76" s="12">
        <v>4</v>
      </c>
      <c r="AB76" s="12">
        <v>4</v>
      </c>
      <c r="AC76" s="12">
        <v>4</v>
      </c>
      <c r="AD76" s="38">
        <v>2</v>
      </c>
    </row>
    <row r="77" spans="1:33" x14ac:dyDescent="0.25">
      <c r="B77" s="11" t="s">
        <v>122</v>
      </c>
      <c r="C77" s="12">
        <v>0</v>
      </c>
      <c r="D77" s="12">
        <v>4</v>
      </c>
      <c r="E77" s="12">
        <v>4</v>
      </c>
      <c r="F77" s="12">
        <v>4</v>
      </c>
      <c r="G77" s="12">
        <v>4</v>
      </c>
      <c r="H77" s="12">
        <v>4</v>
      </c>
      <c r="I77" s="12">
        <v>4</v>
      </c>
      <c r="J77" s="12">
        <v>2</v>
      </c>
      <c r="K77" s="12">
        <v>3</v>
      </c>
      <c r="L77" s="12">
        <v>2</v>
      </c>
      <c r="M77" s="12">
        <v>0</v>
      </c>
      <c r="N77" s="12">
        <v>4</v>
      </c>
      <c r="O77" s="12">
        <v>3</v>
      </c>
      <c r="P77" s="18">
        <v>0</v>
      </c>
      <c r="Q77" s="12">
        <v>4</v>
      </c>
      <c r="R77" s="12">
        <v>4</v>
      </c>
      <c r="S77" s="19">
        <v>4</v>
      </c>
      <c r="T77" s="12">
        <v>4</v>
      </c>
      <c r="U77" s="12">
        <v>4</v>
      </c>
      <c r="V77" s="12">
        <v>4</v>
      </c>
      <c r="W77" s="12">
        <v>3</v>
      </c>
      <c r="X77" s="12">
        <v>4</v>
      </c>
      <c r="Y77" s="12">
        <v>2</v>
      </c>
      <c r="Z77" s="12">
        <v>4</v>
      </c>
      <c r="AA77" s="12">
        <v>3</v>
      </c>
      <c r="AB77" s="12">
        <v>3</v>
      </c>
      <c r="AC77" s="12">
        <v>4</v>
      </c>
      <c r="AD77" s="38">
        <v>1</v>
      </c>
    </row>
    <row r="78" spans="1:33" x14ac:dyDescent="0.25">
      <c r="B78" s="11" t="s">
        <v>124</v>
      </c>
      <c r="C78" s="12">
        <v>0</v>
      </c>
      <c r="D78" s="12">
        <v>4</v>
      </c>
      <c r="E78" s="12">
        <v>4</v>
      </c>
      <c r="F78" s="12">
        <v>4</v>
      </c>
      <c r="G78" s="12">
        <v>3</v>
      </c>
      <c r="H78" s="12">
        <v>4</v>
      </c>
      <c r="I78" s="12">
        <v>4</v>
      </c>
      <c r="J78" s="12">
        <v>3</v>
      </c>
      <c r="K78" s="12">
        <v>2</v>
      </c>
      <c r="L78" s="12">
        <v>4</v>
      </c>
      <c r="M78" s="12">
        <v>0</v>
      </c>
      <c r="N78" s="12">
        <v>4</v>
      </c>
      <c r="O78" s="12">
        <v>3</v>
      </c>
      <c r="P78" s="18">
        <v>0</v>
      </c>
      <c r="Q78" s="12">
        <v>4</v>
      </c>
      <c r="R78" s="12">
        <v>4</v>
      </c>
      <c r="S78" s="19">
        <v>4</v>
      </c>
      <c r="T78" s="12">
        <v>4</v>
      </c>
      <c r="U78" s="12">
        <v>3</v>
      </c>
      <c r="V78" s="12">
        <v>4</v>
      </c>
      <c r="W78" s="12">
        <v>2</v>
      </c>
      <c r="X78" s="12">
        <v>4</v>
      </c>
      <c r="Y78" s="12">
        <v>2</v>
      </c>
      <c r="Z78" s="12">
        <v>4</v>
      </c>
      <c r="AA78" s="12">
        <v>4</v>
      </c>
      <c r="AB78" s="12">
        <v>4</v>
      </c>
      <c r="AC78" s="12">
        <v>4</v>
      </c>
      <c r="AD78" s="38">
        <v>1</v>
      </c>
    </row>
    <row r="79" spans="1:33" x14ac:dyDescent="0.25">
      <c r="B79" s="11" t="s">
        <v>123</v>
      </c>
      <c r="C79" s="12">
        <v>3</v>
      </c>
      <c r="D79" s="12">
        <v>4</v>
      </c>
      <c r="E79" s="12">
        <v>4</v>
      </c>
      <c r="F79" s="12">
        <v>4</v>
      </c>
      <c r="G79" s="12">
        <v>3</v>
      </c>
      <c r="H79" s="12">
        <v>4</v>
      </c>
      <c r="I79" s="12">
        <v>4</v>
      </c>
      <c r="J79" s="12">
        <v>2</v>
      </c>
      <c r="K79" s="12">
        <v>2</v>
      </c>
      <c r="L79" s="12">
        <v>4</v>
      </c>
      <c r="M79" s="12">
        <v>4</v>
      </c>
      <c r="N79" s="12">
        <v>4</v>
      </c>
      <c r="O79" s="12">
        <v>3</v>
      </c>
      <c r="P79" s="18">
        <v>0</v>
      </c>
      <c r="Q79" s="12">
        <v>4</v>
      </c>
      <c r="R79" s="12">
        <v>4</v>
      </c>
      <c r="S79" s="19">
        <v>4</v>
      </c>
      <c r="T79" s="12">
        <v>4</v>
      </c>
      <c r="U79" s="12">
        <v>4</v>
      </c>
      <c r="V79" s="12">
        <v>4</v>
      </c>
      <c r="W79" s="12">
        <v>2</v>
      </c>
      <c r="X79" s="12">
        <v>4</v>
      </c>
      <c r="Y79" s="12">
        <v>3</v>
      </c>
      <c r="Z79" s="12">
        <v>4</v>
      </c>
      <c r="AA79" s="12">
        <v>4</v>
      </c>
      <c r="AB79" s="12">
        <v>4</v>
      </c>
      <c r="AC79" s="12">
        <v>4</v>
      </c>
      <c r="AD79" s="38">
        <v>1</v>
      </c>
    </row>
    <row r="80" spans="1:33" x14ac:dyDescent="0.25">
      <c r="B80" s="11" t="s">
        <v>125</v>
      </c>
      <c r="C80" s="12">
        <v>1</v>
      </c>
      <c r="D80" s="12">
        <v>4</v>
      </c>
      <c r="E80" s="12">
        <v>4</v>
      </c>
      <c r="F80" s="12">
        <v>4</v>
      </c>
      <c r="G80" s="12">
        <v>4</v>
      </c>
      <c r="H80" s="12">
        <v>4</v>
      </c>
      <c r="I80" s="12">
        <v>4</v>
      </c>
      <c r="J80" s="12">
        <v>3</v>
      </c>
      <c r="K80" s="12">
        <v>3</v>
      </c>
      <c r="L80" s="12">
        <v>4</v>
      </c>
      <c r="M80" s="12">
        <v>3</v>
      </c>
      <c r="N80" s="12">
        <v>4</v>
      </c>
      <c r="O80" s="12">
        <v>4</v>
      </c>
      <c r="P80" s="18">
        <v>0</v>
      </c>
      <c r="Q80" s="12">
        <v>4</v>
      </c>
      <c r="R80" s="12">
        <v>4</v>
      </c>
      <c r="S80" s="19">
        <v>4</v>
      </c>
      <c r="T80" s="12">
        <v>4</v>
      </c>
      <c r="U80" s="12">
        <v>4</v>
      </c>
      <c r="V80" s="12">
        <v>4</v>
      </c>
      <c r="W80" s="12">
        <v>4</v>
      </c>
      <c r="X80" s="12">
        <v>4</v>
      </c>
      <c r="Y80" s="12">
        <v>3</v>
      </c>
      <c r="Z80" s="12">
        <v>4</v>
      </c>
      <c r="AA80" s="12">
        <v>4</v>
      </c>
      <c r="AB80" s="12">
        <v>4</v>
      </c>
      <c r="AC80" s="12">
        <v>2</v>
      </c>
      <c r="AD80" s="38">
        <v>4</v>
      </c>
    </row>
    <row r="81" spans="2:30" x14ac:dyDescent="0.25">
      <c r="B81" s="11" t="s">
        <v>126</v>
      </c>
      <c r="C81" s="12">
        <v>1</v>
      </c>
      <c r="D81" s="12">
        <v>3</v>
      </c>
      <c r="E81" s="12">
        <v>4</v>
      </c>
      <c r="F81" s="12">
        <v>4</v>
      </c>
      <c r="G81" s="12">
        <v>4</v>
      </c>
      <c r="H81" s="12">
        <v>4</v>
      </c>
      <c r="I81" s="12">
        <v>4</v>
      </c>
      <c r="J81" s="12">
        <v>2</v>
      </c>
      <c r="K81" s="12">
        <v>3</v>
      </c>
      <c r="L81" s="12">
        <v>4</v>
      </c>
      <c r="M81" s="12">
        <v>4</v>
      </c>
      <c r="N81" s="12">
        <v>4</v>
      </c>
      <c r="O81" s="12">
        <v>3</v>
      </c>
      <c r="P81" s="18">
        <v>0</v>
      </c>
      <c r="Q81" s="12">
        <v>4</v>
      </c>
      <c r="R81" s="12">
        <v>3</v>
      </c>
      <c r="S81" s="19">
        <v>4</v>
      </c>
      <c r="T81" s="12">
        <v>4</v>
      </c>
      <c r="U81" s="12">
        <v>4</v>
      </c>
      <c r="V81" s="12">
        <v>4</v>
      </c>
      <c r="W81" s="12">
        <v>3</v>
      </c>
      <c r="X81" s="12">
        <v>4</v>
      </c>
      <c r="Y81" s="12">
        <v>3</v>
      </c>
      <c r="Z81" s="12">
        <v>4</v>
      </c>
      <c r="AA81" s="12">
        <v>3</v>
      </c>
      <c r="AB81" s="12">
        <v>1</v>
      </c>
      <c r="AC81" s="12">
        <v>2</v>
      </c>
      <c r="AD81" s="38">
        <v>2</v>
      </c>
    </row>
    <row r="82" spans="2:30" x14ac:dyDescent="0.25">
      <c r="B82" s="11" t="s">
        <v>127</v>
      </c>
      <c r="C82" s="12">
        <v>1</v>
      </c>
      <c r="D82" s="12">
        <v>4</v>
      </c>
      <c r="E82" s="12">
        <v>3</v>
      </c>
      <c r="F82" s="12">
        <v>4</v>
      </c>
      <c r="G82" s="12">
        <v>4</v>
      </c>
      <c r="H82" s="12">
        <v>3</v>
      </c>
      <c r="I82" s="12">
        <v>4</v>
      </c>
      <c r="J82" s="12">
        <v>3</v>
      </c>
      <c r="K82" s="12">
        <v>2</v>
      </c>
      <c r="L82" s="12">
        <v>4</v>
      </c>
      <c r="M82" s="12">
        <v>4</v>
      </c>
      <c r="N82" s="12">
        <v>3</v>
      </c>
      <c r="O82" s="12">
        <v>3</v>
      </c>
      <c r="P82" s="18">
        <v>0</v>
      </c>
      <c r="Q82" s="12">
        <v>4</v>
      </c>
      <c r="R82" s="12">
        <v>3</v>
      </c>
      <c r="S82" s="19">
        <v>4</v>
      </c>
      <c r="T82" s="12">
        <v>4</v>
      </c>
      <c r="U82" s="12">
        <v>4</v>
      </c>
      <c r="V82" s="12">
        <v>4</v>
      </c>
      <c r="W82" s="12">
        <v>4</v>
      </c>
      <c r="X82" s="12">
        <v>4</v>
      </c>
      <c r="Y82" s="12">
        <v>4</v>
      </c>
      <c r="Z82" s="12">
        <v>4</v>
      </c>
      <c r="AA82" s="12">
        <v>3</v>
      </c>
      <c r="AB82" s="12">
        <v>3</v>
      </c>
      <c r="AC82" s="12">
        <v>3</v>
      </c>
      <c r="AD82" s="38">
        <v>1</v>
      </c>
    </row>
    <row r="83" spans="2:30" x14ac:dyDescent="0.25">
      <c r="B83" s="11" t="s">
        <v>128</v>
      </c>
      <c r="C83" s="12">
        <v>2</v>
      </c>
      <c r="D83" s="12">
        <v>4</v>
      </c>
      <c r="E83" s="12">
        <v>3</v>
      </c>
      <c r="F83" s="12">
        <v>4</v>
      </c>
      <c r="G83" s="12">
        <v>4</v>
      </c>
      <c r="H83" s="12">
        <v>4</v>
      </c>
      <c r="I83" s="12">
        <v>4</v>
      </c>
      <c r="J83" s="12">
        <v>3</v>
      </c>
      <c r="K83" s="12">
        <v>2</v>
      </c>
      <c r="L83" s="12">
        <v>4</v>
      </c>
      <c r="M83" s="12">
        <v>4</v>
      </c>
      <c r="N83" s="12">
        <v>3</v>
      </c>
      <c r="O83" s="12">
        <v>4</v>
      </c>
      <c r="P83" s="18">
        <v>0</v>
      </c>
      <c r="Q83" s="12">
        <v>4</v>
      </c>
      <c r="R83" s="12">
        <v>3</v>
      </c>
      <c r="S83" s="19">
        <v>4</v>
      </c>
      <c r="T83" s="12">
        <v>3</v>
      </c>
      <c r="U83" s="12">
        <v>4</v>
      </c>
      <c r="V83" s="12">
        <v>4</v>
      </c>
      <c r="W83" s="12">
        <v>1</v>
      </c>
      <c r="X83" s="12">
        <v>4</v>
      </c>
      <c r="Y83" s="12">
        <v>3</v>
      </c>
      <c r="Z83" s="12">
        <v>4</v>
      </c>
      <c r="AA83" s="12">
        <v>2</v>
      </c>
      <c r="AB83" s="12">
        <v>4</v>
      </c>
      <c r="AC83" s="12">
        <v>3</v>
      </c>
      <c r="AD83" s="38">
        <v>3</v>
      </c>
    </row>
    <row r="84" spans="2:30" x14ac:dyDescent="0.25">
      <c r="B84" s="11" t="s">
        <v>129</v>
      </c>
      <c r="C84" s="12">
        <v>1</v>
      </c>
      <c r="D84" s="12">
        <v>4</v>
      </c>
      <c r="E84" s="12">
        <v>3</v>
      </c>
      <c r="F84" s="12">
        <v>4</v>
      </c>
      <c r="G84" s="12">
        <v>4</v>
      </c>
      <c r="H84" s="12">
        <v>3</v>
      </c>
      <c r="I84" s="12">
        <v>4</v>
      </c>
      <c r="J84" s="12">
        <v>2</v>
      </c>
      <c r="K84" s="12">
        <v>2</v>
      </c>
      <c r="L84" s="12">
        <v>4</v>
      </c>
      <c r="M84" s="12">
        <v>4</v>
      </c>
      <c r="N84" s="12">
        <v>4</v>
      </c>
      <c r="O84" s="12">
        <v>3</v>
      </c>
      <c r="P84" s="18">
        <v>0</v>
      </c>
      <c r="Q84" s="12">
        <v>4</v>
      </c>
      <c r="R84" s="12">
        <v>3</v>
      </c>
      <c r="S84" s="19">
        <v>4</v>
      </c>
      <c r="T84" s="12">
        <v>4</v>
      </c>
      <c r="U84" s="12">
        <v>4</v>
      </c>
      <c r="V84" s="12">
        <v>4</v>
      </c>
      <c r="W84" s="12">
        <v>3</v>
      </c>
      <c r="X84" s="12">
        <v>4</v>
      </c>
      <c r="Y84" s="12">
        <v>2</v>
      </c>
      <c r="Z84" s="12">
        <v>4</v>
      </c>
      <c r="AA84" s="12">
        <v>4</v>
      </c>
      <c r="AB84" s="12">
        <v>3</v>
      </c>
      <c r="AC84" s="12">
        <v>3</v>
      </c>
      <c r="AD84" s="38">
        <v>3</v>
      </c>
    </row>
    <row r="85" spans="2:30" x14ac:dyDescent="0.25">
      <c r="B85" s="11" t="s">
        <v>130</v>
      </c>
      <c r="C85" s="12">
        <v>3</v>
      </c>
      <c r="D85" s="12">
        <v>2</v>
      </c>
      <c r="E85" s="12">
        <v>2</v>
      </c>
      <c r="F85" s="12">
        <v>4</v>
      </c>
      <c r="G85" s="12">
        <v>4</v>
      </c>
      <c r="H85" s="12">
        <v>4</v>
      </c>
      <c r="I85" s="12">
        <v>4</v>
      </c>
      <c r="J85" s="12">
        <v>3</v>
      </c>
      <c r="K85" s="12">
        <v>2</v>
      </c>
      <c r="L85" s="12">
        <v>4</v>
      </c>
      <c r="M85" s="12">
        <v>3</v>
      </c>
      <c r="N85" s="12">
        <v>4</v>
      </c>
      <c r="O85" s="12">
        <v>3</v>
      </c>
      <c r="P85" s="18">
        <v>0</v>
      </c>
      <c r="Q85" s="12">
        <v>3</v>
      </c>
      <c r="R85" s="12">
        <v>3</v>
      </c>
      <c r="S85" s="19">
        <v>4</v>
      </c>
      <c r="T85" s="12">
        <v>4</v>
      </c>
      <c r="U85" s="12">
        <v>4</v>
      </c>
      <c r="V85" s="12">
        <v>4</v>
      </c>
      <c r="W85" s="12">
        <v>4</v>
      </c>
      <c r="X85" s="12">
        <v>4</v>
      </c>
      <c r="Y85" s="12">
        <v>3</v>
      </c>
      <c r="Z85" s="12">
        <v>1</v>
      </c>
      <c r="AA85" s="12">
        <v>4</v>
      </c>
      <c r="AB85" s="12">
        <v>1</v>
      </c>
      <c r="AC85" s="12">
        <v>1</v>
      </c>
      <c r="AD85" s="38">
        <v>1</v>
      </c>
    </row>
    <row r="86" spans="2:30" x14ac:dyDescent="0.25">
      <c r="B86" s="11" t="s">
        <v>131</v>
      </c>
      <c r="C86" s="12">
        <v>4</v>
      </c>
      <c r="D86" s="12">
        <v>4</v>
      </c>
      <c r="E86" s="12">
        <v>3</v>
      </c>
      <c r="F86" s="12">
        <v>4</v>
      </c>
      <c r="G86" s="12">
        <v>4</v>
      </c>
      <c r="H86" s="12">
        <v>4</v>
      </c>
      <c r="I86" s="12">
        <v>4</v>
      </c>
      <c r="J86" s="12">
        <v>3</v>
      </c>
      <c r="K86" s="12">
        <v>2</v>
      </c>
      <c r="L86" s="12">
        <v>4</v>
      </c>
      <c r="M86" s="12">
        <v>4</v>
      </c>
      <c r="N86" s="12">
        <v>4</v>
      </c>
      <c r="O86" s="12">
        <v>3</v>
      </c>
      <c r="P86" s="18">
        <v>0</v>
      </c>
      <c r="Q86" s="12">
        <v>3</v>
      </c>
      <c r="R86" s="12">
        <v>3</v>
      </c>
      <c r="S86" s="19">
        <v>4</v>
      </c>
      <c r="T86" s="12">
        <v>4</v>
      </c>
      <c r="U86" s="12">
        <v>3</v>
      </c>
      <c r="V86" s="12">
        <v>4</v>
      </c>
      <c r="W86" s="12">
        <v>4</v>
      </c>
      <c r="X86" s="12">
        <v>4</v>
      </c>
      <c r="Y86" s="12">
        <v>2</v>
      </c>
      <c r="Z86" s="12">
        <v>4</v>
      </c>
      <c r="AA86" s="12">
        <v>3</v>
      </c>
      <c r="AB86" s="12">
        <v>4</v>
      </c>
      <c r="AC86" s="12">
        <v>1</v>
      </c>
      <c r="AD86" s="38">
        <v>3</v>
      </c>
    </row>
    <row r="87" spans="2:30" x14ac:dyDescent="0.25">
      <c r="B87" s="11" t="s">
        <v>132</v>
      </c>
      <c r="C87" s="12">
        <v>0</v>
      </c>
      <c r="D87" s="12">
        <v>1</v>
      </c>
      <c r="E87" s="12">
        <v>1</v>
      </c>
      <c r="F87" s="12">
        <v>4</v>
      </c>
      <c r="G87" s="12">
        <v>4</v>
      </c>
      <c r="H87" s="12">
        <v>2</v>
      </c>
      <c r="I87" s="12">
        <v>4</v>
      </c>
      <c r="J87" s="12">
        <v>3</v>
      </c>
      <c r="K87" s="12">
        <v>2</v>
      </c>
      <c r="L87" s="12">
        <v>4</v>
      </c>
      <c r="M87" s="12">
        <v>4</v>
      </c>
      <c r="N87" s="12">
        <v>4</v>
      </c>
      <c r="O87" s="12">
        <v>2</v>
      </c>
      <c r="P87" s="18">
        <v>0</v>
      </c>
      <c r="Q87" s="12">
        <v>1</v>
      </c>
      <c r="R87" s="12">
        <v>1</v>
      </c>
      <c r="S87" s="19">
        <v>4</v>
      </c>
      <c r="T87" s="12">
        <v>4</v>
      </c>
      <c r="U87" s="12">
        <v>3</v>
      </c>
      <c r="V87" s="12">
        <v>4</v>
      </c>
      <c r="W87" s="12">
        <v>0</v>
      </c>
      <c r="X87" s="12">
        <v>4</v>
      </c>
      <c r="Y87" s="12">
        <v>2</v>
      </c>
      <c r="Z87" s="12">
        <v>0</v>
      </c>
      <c r="AA87" s="12">
        <v>3</v>
      </c>
      <c r="AB87" s="12">
        <v>0</v>
      </c>
      <c r="AC87" s="12">
        <v>3</v>
      </c>
      <c r="AD87" s="38">
        <v>1</v>
      </c>
    </row>
    <row r="88" spans="2:30" x14ac:dyDescent="0.25">
      <c r="B88" s="11" t="s">
        <v>133</v>
      </c>
      <c r="C88" s="12">
        <v>0</v>
      </c>
      <c r="D88" s="12">
        <v>4</v>
      </c>
      <c r="E88" s="12">
        <v>1</v>
      </c>
      <c r="F88" s="12">
        <v>2</v>
      </c>
      <c r="G88" s="12">
        <v>4</v>
      </c>
      <c r="H88" s="12">
        <v>2</v>
      </c>
      <c r="I88" s="12">
        <v>4</v>
      </c>
      <c r="J88" s="12">
        <v>3</v>
      </c>
      <c r="K88" s="12">
        <v>2</v>
      </c>
      <c r="L88" s="12">
        <v>4</v>
      </c>
      <c r="M88" s="12">
        <v>1</v>
      </c>
      <c r="N88" s="12">
        <v>3</v>
      </c>
      <c r="O88" s="12">
        <v>2</v>
      </c>
      <c r="P88" s="18">
        <v>0</v>
      </c>
      <c r="Q88" s="12">
        <v>1</v>
      </c>
      <c r="R88" s="12">
        <v>1</v>
      </c>
      <c r="S88" s="19">
        <v>4</v>
      </c>
      <c r="T88" s="12">
        <v>4</v>
      </c>
      <c r="U88" s="12">
        <v>3</v>
      </c>
      <c r="V88" s="12">
        <v>4</v>
      </c>
      <c r="W88" s="12">
        <v>1</v>
      </c>
      <c r="X88" s="12">
        <v>4</v>
      </c>
      <c r="Y88" s="12">
        <v>3</v>
      </c>
      <c r="Z88" s="12">
        <v>0</v>
      </c>
      <c r="AA88" s="12">
        <v>3</v>
      </c>
      <c r="AB88" s="12">
        <v>0</v>
      </c>
      <c r="AC88" s="12">
        <v>3</v>
      </c>
      <c r="AD88" s="38">
        <v>1</v>
      </c>
    </row>
    <row r="89" spans="2:30" x14ac:dyDescent="0.25">
      <c r="B89" s="11" t="s">
        <v>134</v>
      </c>
      <c r="C89" s="12">
        <v>0</v>
      </c>
      <c r="D89" s="12">
        <v>4</v>
      </c>
      <c r="E89" s="12">
        <v>1</v>
      </c>
      <c r="F89" s="12">
        <v>2</v>
      </c>
      <c r="G89" s="12">
        <v>2</v>
      </c>
      <c r="H89" s="12">
        <v>2</v>
      </c>
      <c r="I89" s="12">
        <v>4</v>
      </c>
      <c r="J89" s="12">
        <v>4</v>
      </c>
      <c r="K89" s="12">
        <v>3</v>
      </c>
      <c r="L89" s="12">
        <v>4</v>
      </c>
      <c r="M89" s="12">
        <v>1</v>
      </c>
      <c r="N89" s="12">
        <v>1</v>
      </c>
      <c r="O89" s="12">
        <v>2</v>
      </c>
      <c r="P89" s="18">
        <v>0</v>
      </c>
      <c r="Q89" s="12">
        <v>1</v>
      </c>
      <c r="R89" s="12">
        <v>1</v>
      </c>
      <c r="S89" s="19">
        <v>0</v>
      </c>
      <c r="T89" s="12">
        <v>4</v>
      </c>
      <c r="U89" s="12">
        <v>3</v>
      </c>
      <c r="V89" s="12">
        <v>4</v>
      </c>
      <c r="W89" s="12">
        <v>0</v>
      </c>
      <c r="X89" s="12">
        <v>4</v>
      </c>
      <c r="Y89" s="12">
        <v>3</v>
      </c>
      <c r="Z89" s="12">
        <v>0</v>
      </c>
      <c r="AA89" s="12">
        <v>4</v>
      </c>
      <c r="AB89" s="12">
        <v>1</v>
      </c>
      <c r="AC89" s="12">
        <v>3</v>
      </c>
      <c r="AD89" s="38">
        <v>0</v>
      </c>
    </row>
    <row r="90" spans="2:30" x14ac:dyDescent="0.25">
      <c r="B90" s="11" t="s">
        <v>135</v>
      </c>
      <c r="C90" s="12">
        <v>0</v>
      </c>
      <c r="D90" s="12">
        <v>4</v>
      </c>
      <c r="E90" s="12">
        <v>1</v>
      </c>
      <c r="F90" s="12">
        <v>2</v>
      </c>
      <c r="G90" s="12">
        <v>1</v>
      </c>
      <c r="H90" s="12">
        <v>2</v>
      </c>
      <c r="I90" s="12">
        <v>4</v>
      </c>
      <c r="J90" s="12">
        <v>4</v>
      </c>
      <c r="K90" s="12">
        <v>2</v>
      </c>
      <c r="L90" s="12">
        <v>4</v>
      </c>
      <c r="M90" s="12">
        <v>3</v>
      </c>
      <c r="N90" s="12">
        <v>1</v>
      </c>
      <c r="O90" s="12">
        <v>2</v>
      </c>
      <c r="P90" s="18">
        <v>0</v>
      </c>
      <c r="Q90" s="12">
        <v>1</v>
      </c>
      <c r="R90" s="12">
        <v>1</v>
      </c>
      <c r="S90" s="19">
        <v>0</v>
      </c>
      <c r="T90" s="12">
        <v>2</v>
      </c>
      <c r="U90" s="12">
        <v>3</v>
      </c>
      <c r="V90" s="12">
        <v>4</v>
      </c>
      <c r="W90" s="12">
        <v>1</v>
      </c>
      <c r="X90" s="12">
        <v>4</v>
      </c>
      <c r="Y90" s="12">
        <v>2</v>
      </c>
      <c r="Z90" s="12">
        <v>0</v>
      </c>
      <c r="AA90" s="12">
        <v>3</v>
      </c>
      <c r="AB90" s="12">
        <v>3</v>
      </c>
      <c r="AC90" s="12">
        <v>3</v>
      </c>
      <c r="AD90" s="38">
        <v>0</v>
      </c>
    </row>
    <row r="91" spans="2:30" x14ac:dyDescent="0.25">
      <c r="B91" s="11" t="s">
        <v>136</v>
      </c>
      <c r="C91" s="12">
        <v>0</v>
      </c>
      <c r="D91" s="12">
        <v>4</v>
      </c>
      <c r="E91" s="12">
        <v>1</v>
      </c>
      <c r="F91" s="12">
        <v>4</v>
      </c>
      <c r="G91" s="12">
        <v>2</v>
      </c>
      <c r="H91" s="12">
        <v>3</v>
      </c>
      <c r="I91" s="12">
        <v>4</v>
      </c>
      <c r="J91" s="12">
        <v>4</v>
      </c>
      <c r="K91" s="12">
        <v>2</v>
      </c>
      <c r="L91" s="12">
        <v>4</v>
      </c>
      <c r="M91" s="12">
        <v>3</v>
      </c>
      <c r="N91" s="12">
        <v>3</v>
      </c>
      <c r="O91" s="12">
        <v>2</v>
      </c>
      <c r="P91" s="18">
        <v>0</v>
      </c>
      <c r="Q91" s="12">
        <v>1</v>
      </c>
      <c r="R91" s="12">
        <v>3</v>
      </c>
      <c r="S91" s="19">
        <v>2</v>
      </c>
      <c r="T91" s="12">
        <v>4</v>
      </c>
      <c r="U91" s="12">
        <v>3</v>
      </c>
      <c r="V91" s="12">
        <v>4</v>
      </c>
      <c r="W91" s="12">
        <v>2</v>
      </c>
      <c r="X91" s="12">
        <v>4</v>
      </c>
      <c r="Y91" s="12">
        <v>1</v>
      </c>
      <c r="Z91" s="12">
        <v>2</v>
      </c>
      <c r="AA91" s="12">
        <v>3</v>
      </c>
      <c r="AB91" s="12">
        <v>3</v>
      </c>
      <c r="AC91" s="12">
        <v>2</v>
      </c>
      <c r="AD91" s="38">
        <v>1</v>
      </c>
    </row>
    <row r="92" spans="2:30" x14ac:dyDescent="0.25">
      <c r="B92" s="11" t="s">
        <v>137</v>
      </c>
      <c r="C92" s="12">
        <v>0</v>
      </c>
      <c r="D92" s="12">
        <v>2</v>
      </c>
      <c r="E92" s="12">
        <v>0</v>
      </c>
      <c r="F92" s="12">
        <v>2</v>
      </c>
      <c r="G92" s="12">
        <v>1</v>
      </c>
      <c r="H92" s="12">
        <v>3</v>
      </c>
      <c r="I92" s="12">
        <v>3</v>
      </c>
      <c r="J92" s="12">
        <v>3</v>
      </c>
      <c r="K92" s="12">
        <v>1</v>
      </c>
      <c r="L92" s="12">
        <v>2</v>
      </c>
      <c r="M92" s="12">
        <v>1</v>
      </c>
      <c r="N92" s="12">
        <v>1</v>
      </c>
      <c r="O92" s="12">
        <v>1</v>
      </c>
      <c r="P92" s="18">
        <v>0</v>
      </c>
      <c r="Q92" s="12">
        <v>1</v>
      </c>
      <c r="R92" s="12">
        <v>1</v>
      </c>
      <c r="S92" s="19">
        <v>0</v>
      </c>
      <c r="T92" s="12">
        <v>4</v>
      </c>
      <c r="U92" s="12">
        <v>3</v>
      </c>
      <c r="V92" s="12">
        <v>4</v>
      </c>
      <c r="W92" s="12">
        <v>1</v>
      </c>
      <c r="X92" s="12">
        <v>4</v>
      </c>
      <c r="Y92" s="12">
        <v>1</v>
      </c>
      <c r="Z92" s="12">
        <v>2</v>
      </c>
      <c r="AA92" s="12">
        <v>3</v>
      </c>
      <c r="AB92" s="12">
        <v>0</v>
      </c>
      <c r="AC92" s="12">
        <v>1</v>
      </c>
      <c r="AD92" s="38">
        <v>0</v>
      </c>
    </row>
    <row r="93" spans="2:30" x14ac:dyDescent="0.25">
      <c r="B93" s="11" t="s">
        <v>138</v>
      </c>
      <c r="C93" s="12">
        <v>3</v>
      </c>
      <c r="D93" s="12">
        <v>3</v>
      </c>
      <c r="E93" s="12">
        <v>1</v>
      </c>
      <c r="F93" s="12">
        <v>4</v>
      </c>
      <c r="G93" s="12">
        <v>3</v>
      </c>
      <c r="H93" s="12">
        <v>3</v>
      </c>
      <c r="I93" s="12">
        <v>4</v>
      </c>
      <c r="J93" s="12">
        <v>3</v>
      </c>
      <c r="K93" s="12">
        <v>3</v>
      </c>
      <c r="L93" s="12">
        <v>4</v>
      </c>
      <c r="M93" s="12">
        <v>4</v>
      </c>
      <c r="N93" s="12">
        <v>3</v>
      </c>
      <c r="O93" s="12">
        <v>3</v>
      </c>
      <c r="P93" s="18">
        <v>0</v>
      </c>
      <c r="Q93" s="12">
        <v>4</v>
      </c>
      <c r="R93" s="12">
        <v>3</v>
      </c>
      <c r="S93" s="19">
        <v>4</v>
      </c>
      <c r="T93" s="12">
        <v>4</v>
      </c>
      <c r="U93" s="12">
        <v>4</v>
      </c>
      <c r="V93" s="12">
        <v>3</v>
      </c>
      <c r="W93" s="12">
        <v>3</v>
      </c>
      <c r="X93" s="12">
        <v>4</v>
      </c>
      <c r="Y93" s="12">
        <v>2</v>
      </c>
      <c r="Z93" s="12">
        <v>4</v>
      </c>
      <c r="AA93" s="12">
        <v>3</v>
      </c>
      <c r="AB93" s="12">
        <v>4</v>
      </c>
      <c r="AC93" s="12">
        <v>2</v>
      </c>
      <c r="AD93" s="38">
        <v>3</v>
      </c>
    </row>
    <row r="94" spans="2:30" x14ac:dyDescent="0.25">
      <c r="B94" s="11" t="s">
        <v>139</v>
      </c>
      <c r="C94" s="12">
        <v>3</v>
      </c>
      <c r="D94" s="12">
        <v>4</v>
      </c>
      <c r="E94" s="12">
        <v>4</v>
      </c>
      <c r="F94" s="12">
        <v>4</v>
      </c>
      <c r="G94" s="12">
        <v>3</v>
      </c>
      <c r="H94" s="12">
        <v>4</v>
      </c>
      <c r="I94" s="12">
        <v>4</v>
      </c>
      <c r="J94" s="12">
        <v>3</v>
      </c>
      <c r="K94" s="12">
        <v>2</v>
      </c>
      <c r="L94" s="12">
        <v>3</v>
      </c>
      <c r="M94" s="12">
        <v>4</v>
      </c>
      <c r="N94" s="12">
        <v>1</v>
      </c>
      <c r="O94" s="12">
        <v>3</v>
      </c>
      <c r="P94" s="18">
        <v>0</v>
      </c>
      <c r="Q94" s="12">
        <v>4</v>
      </c>
      <c r="R94" s="12">
        <v>3</v>
      </c>
      <c r="S94" s="19">
        <v>4</v>
      </c>
      <c r="T94" s="12">
        <v>4</v>
      </c>
      <c r="U94" s="12">
        <v>4</v>
      </c>
      <c r="V94" s="12">
        <v>4</v>
      </c>
      <c r="W94" s="12">
        <v>4</v>
      </c>
      <c r="X94" s="12">
        <v>4</v>
      </c>
      <c r="Y94" s="12">
        <v>3</v>
      </c>
      <c r="Z94" s="12">
        <v>4</v>
      </c>
      <c r="AA94" s="12">
        <v>4</v>
      </c>
      <c r="AB94" s="12">
        <v>4</v>
      </c>
      <c r="AC94" s="12">
        <v>2</v>
      </c>
      <c r="AD94" s="38">
        <v>3</v>
      </c>
    </row>
    <row r="95" spans="2:30" x14ac:dyDescent="0.25">
      <c r="B95" s="11" t="s">
        <v>140</v>
      </c>
      <c r="C95" s="12">
        <v>1</v>
      </c>
      <c r="D95" s="12">
        <v>4</v>
      </c>
      <c r="E95" s="12">
        <v>4</v>
      </c>
      <c r="F95" s="12">
        <v>4</v>
      </c>
      <c r="G95" s="12">
        <v>4</v>
      </c>
      <c r="H95" s="12">
        <v>4</v>
      </c>
      <c r="I95" s="12">
        <v>2</v>
      </c>
      <c r="J95" s="12">
        <v>3</v>
      </c>
      <c r="K95" s="12">
        <v>3</v>
      </c>
      <c r="L95" s="12">
        <v>3</v>
      </c>
      <c r="M95" s="12">
        <v>4</v>
      </c>
      <c r="N95" s="12">
        <v>1</v>
      </c>
      <c r="O95" s="12">
        <v>3</v>
      </c>
      <c r="P95" s="18">
        <v>0</v>
      </c>
      <c r="Q95" s="12">
        <v>3</v>
      </c>
      <c r="R95" s="12">
        <v>3</v>
      </c>
      <c r="S95" s="19">
        <v>4</v>
      </c>
      <c r="T95" s="12">
        <v>4</v>
      </c>
      <c r="U95" s="12">
        <v>4</v>
      </c>
      <c r="V95" s="12">
        <v>4</v>
      </c>
      <c r="W95" s="12">
        <v>4</v>
      </c>
      <c r="X95" s="12">
        <v>4</v>
      </c>
      <c r="Y95" s="12">
        <v>3</v>
      </c>
      <c r="Z95" s="12">
        <v>4</v>
      </c>
      <c r="AA95" s="12">
        <v>4</v>
      </c>
      <c r="AB95" s="12">
        <v>3</v>
      </c>
      <c r="AC95" s="12">
        <v>3</v>
      </c>
      <c r="AD95" s="38">
        <v>3</v>
      </c>
    </row>
    <row r="96" spans="2:30" x14ac:dyDescent="0.25">
      <c r="B96" s="11" t="s">
        <v>141</v>
      </c>
      <c r="C96" s="12">
        <v>1</v>
      </c>
      <c r="D96" s="12">
        <v>4</v>
      </c>
      <c r="E96" s="12">
        <v>4</v>
      </c>
      <c r="F96" s="12">
        <v>4</v>
      </c>
      <c r="G96" s="12">
        <v>4</v>
      </c>
      <c r="H96" s="12">
        <v>4</v>
      </c>
      <c r="I96" s="12">
        <v>3</v>
      </c>
      <c r="J96" s="12">
        <v>3</v>
      </c>
      <c r="K96" s="12">
        <v>3</v>
      </c>
      <c r="L96" s="12">
        <v>3</v>
      </c>
      <c r="M96" s="12">
        <v>3</v>
      </c>
      <c r="N96" s="12">
        <v>3</v>
      </c>
      <c r="O96" s="12">
        <v>3</v>
      </c>
      <c r="P96" s="18">
        <v>0</v>
      </c>
      <c r="Q96" s="12">
        <v>3</v>
      </c>
      <c r="R96" s="12">
        <v>3</v>
      </c>
      <c r="S96" s="19">
        <v>4</v>
      </c>
      <c r="T96" s="12">
        <v>4</v>
      </c>
      <c r="U96" s="12">
        <v>4</v>
      </c>
      <c r="V96" s="12">
        <v>4</v>
      </c>
      <c r="W96" s="12">
        <v>3</v>
      </c>
      <c r="X96" s="12">
        <v>4</v>
      </c>
      <c r="Y96" s="12">
        <v>2</v>
      </c>
      <c r="Z96" s="12">
        <v>4</v>
      </c>
      <c r="AA96" s="12">
        <v>4</v>
      </c>
      <c r="AB96" s="12">
        <v>2</v>
      </c>
      <c r="AC96" s="12">
        <v>3</v>
      </c>
      <c r="AD96" s="38">
        <v>3</v>
      </c>
    </row>
    <row r="97" spans="2:30" x14ac:dyDescent="0.25">
      <c r="B97" s="11" t="s">
        <v>142</v>
      </c>
      <c r="C97" s="12">
        <v>1</v>
      </c>
      <c r="D97" s="12">
        <v>3</v>
      </c>
      <c r="E97" s="12">
        <v>2</v>
      </c>
      <c r="F97" s="12">
        <v>4</v>
      </c>
      <c r="G97" s="12">
        <v>4</v>
      </c>
      <c r="H97" s="12">
        <v>4</v>
      </c>
      <c r="I97" s="12">
        <v>2</v>
      </c>
      <c r="J97" s="12">
        <v>3</v>
      </c>
      <c r="K97" s="12">
        <v>2</v>
      </c>
      <c r="L97" s="12">
        <v>4</v>
      </c>
      <c r="M97" s="12">
        <v>3</v>
      </c>
      <c r="N97" s="12">
        <v>3</v>
      </c>
      <c r="O97" s="12">
        <v>2</v>
      </c>
      <c r="P97" s="18">
        <v>0</v>
      </c>
      <c r="Q97" s="12">
        <v>2</v>
      </c>
      <c r="R97" s="12">
        <v>3</v>
      </c>
      <c r="S97" s="19">
        <v>4</v>
      </c>
      <c r="T97" s="12">
        <v>4</v>
      </c>
      <c r="U97" s="12">
        <v>4</v>
      </c>
      <c r="V97" s="12">
        <v>4</v>
      </c>
      <c r="W97" s="12">
        <v>3</v>
      </c>
      <c r="X97" s="12">
        <v>4</v>
      </c>
      <c r="Y97" s="12">
        <v>3</v>
      </c>
      <c r="Z97" s="12">
        <v>4</v>
      </c>
      <c r="AA97" s="12">
        <v>4</v>
      </c>
      <c r="AB97" s="12">
        <v>2</v>
      </c>
      <c r="AC97" s="12">
        <v>3</v>
      </c>
      <c r="AD97" s="38">
        <v>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97"/>
  <sheetViews>
    <sheetView zoomScale="90" zoomScaleNormal="90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D2" sqref="D2"/>
    </sheetView>
  </sheetViews>
  <sheetFormatPr defaultColWidth="8.85546875" defaultRowHeight="15" x14ac:dyDescent="0.25"/>
  <cols>
    <col min="2" max="2" width="22" style="1" bestFit="1" customWidth="1"/>
    <col min="3" max="3" width="9.42578125" style="12" bestFit="1" customWidth="1"/>
    <col min="4" max="12" width="8.85546875" style="12"/>
    <col min="13" max="13" width="10.140625" style="12" bestFit="1" customWidth="1"/>
    <col min="14" max="17" width="8.85546875" style="12"/>
    <col min="18" max="18" width="10.42578125" style="12" bestFit="1" customWidth="1"/>
    <col min="19" max="19" width="11.140625" style="12" bestFit="1" customWidth="1"/>
    <col min="20" max="20" width="9.28515625" style="12" bestFit="1" customWidth="1"/>
    <col min="21" max="21" width="9.85546875" style="12" bestFit="1" customWidth="1"/>
    <col min="22" max="24" width="8.85546875" style="12"/>
    <col min="25" max="25" width="11" style="12" bestFit="1" customWidth="1"/>
    <col min="26" max="26" width="9.7109375" style="12" bestFit="1" customWidth="1"/>
    <col min="27" max="27" width="10.42578125" style="12" bestFit="1" customWidth="1"/>
    <col min="28" max="28" width="9.42578125" style="12" bestFit="1" customWidth="1"/>
    <col min="29" max="29" width="9.28515625" style="12" bestFit="1" customWidth="1"/>
    <col min="30" max="30" width="9.7109375" style="12" bestFit="1" customWidth="1"/>
    <col min="31" max="32" width="8.85546875" style="12"/>
    <col min="33" max="33" width="8.85546875" style="35"/>
    <col min="34" max="34" width="11" style="35" bestFit="1" customWidth="1"/>
    <col min="35" max="35" width="12.85546875" style="35" bestFit="1" customWidth="1"/>
    <col min="36" max="41" width="8.85546875" style="35"/>
    <col min="42" max="46" width="8.85546875" style="38"/>
  </cols>
  <sheetData>
    <row r="1" spans="1:46" s="14" customFormat="1" x14ac:dyDescent="0.25">
      <c r="A1" s="15"/>
      <c r="B1" s="13"/>
      <c r="C1" s="14" t="s">
        <v>66</v>
      </c>
      <c r="D1" s="14" t="s">
        <v>67</v>
      </c>
      <c r="E1" s="14" t="s">
        <v>68</v>
      </c>
      <c r="F1" s="14" t="s">
        <v>69</v>
      </c>
      <c r="G1" s="14" t="s">
        <v>70</v>
      </c>
      <c r="H1" s="14" t="s">
        <v>72</v>
      </c>
      <c r="I1" s="14" t="s">
        <v>73</v>
      </c>
      <c r="J1" s="14" t="s">
        <v>74</v>
      </c>
      <c r="K1" s="14" t="s">
        <v>75</v>
      </c>
      <c r="L1" s="14" t="s">
        <v>77</v>
      </c>
      <c r="M1" s="14" t="s">
        <v>78</v>
      </c>
      <c r="N1" s="14" t="s">
        <v>79</v>
      </c>
      <c r="O1" s="14" t="s">
        <v>80</v>
      </c>
      <c r="P1" s="14" t="s">
        <v>81</v>
      </c>
      <c r="Q1" s="14" t="s">
        <v>82</v>
      </c>
      <c r="R1" s="14" t="s">
        <v>83</v>
      </c>
      <c r="S1" s="14" t="s">
        <v>84</v>
      </c>
      <c r="T1" s="14" t="s">
        <v>85</v>
      </c>
      <c r="U1" s="14" t="s">
        <v>86</v>
      </c>
      <c r="V1" s="14" t="s">
        <v>87</v>
      </c>
      <c r="W1" s="14" t="s">
        <v>88</v>
      </c>
      <c r="X1" s="14" t="s">
        <v>89</v>
      </c>
      <c r="Y1" s="14" t="s">
        <v>90</v>
      </c>
      <c r="Z1" s="14" t="s">
        <v>91</v>
      </c>
      <c r="AA1" s="14" t="s">
        <v>92</v>
      </c>
      <c r="AB1" s="14" t="s">
        <v>93</v>
      </c>
      <c r="AC1" s="14" t="s">
        <v>94</v>
      </c>
      <c r="AD1" s="14" t="s">
        <v>95</v>
      </c>
      <c r="AE1" s="14" t="s">
        <v>420</v>
      </c>
      <c r="AF1" s="14" t="s">
        <v>421</v>
      </c>
      <c r="AG1" s="33" t="s">
        <v>425</v>
      </c>
      <c r="AH1" s="33" t="s">
        <v>443</v>
      </c>
      <c r="AI1" s="33" t="s">
        <v>444</v>
      </c>
      <c r="AJ1" s="33" t="s">
        <v>445</v>
      </c>
      <c r="AK1" s="33" t="s">
        <v>446</v>
      </c>
      <c r="AL1" s="33" t="s">
        <v>447</v>
      </c>
      <c r="AM1" s="33" t="s">
        <v>448</v>
      </c>
      <c r="AN1" s="33" t="s">
        <v>450</v>
      </c>
      <c r="AO1" s="33" t="s">
        <v>451</v>
      </c>
      <c r="AP1" s="33" t="s">
        <v>453</v>
      </c>
      <c r="AQ1" s="33"/>
      <c r="AR1" s="33"/>
      <c r="AS1" s="33"/>
      <c r="AT1" s="33"/>
    </row>
    <row r="2" spans="1:46" s="24" customFormat="1" x14ac:dyDescent="0.25">
      <c r="A2" s="21"/>
      <c r="B2" s="23" t="s">
        <v>143</v>
      </c>
      <c r="C2" s="24">
        <v>1</v>
      </c>
      <c r="D2" s="24">
        <v>2</v>
      </c>
      <c r="E2" s="24">
        <v>3</v>
      </c>
      <c r="F2" s="24">
        <v>4</v>
      </c>
      <c r="G2" s="24">
        <v>5</v>
      </c>
      <c r="H2" s="24">
        <v>6</v>
      </c>
      <c r="I2" s="24">
        <v>7</v>
      </c>
      <c r="J2" s="24">
        <v>8</v>
      </c>
      <c r="K2" s="24">
        <v>9</v>
      </c>
      <c r="L2" s="24">
        <v>10</v>
      </c>
      <c r="M2" s="24">
        <v>11</v>
      </c>
      <c r="N2" s="24">
        <v>12</v>
      </c>
      <c r="O2" s="24">
        <v>13</v>
      </c>
      <c r="P2" s="24">
        <v>14</v>
      </c>
      <c r="Q2" s="24">
        <v>15</v>
      </c>
      <c r="R2" s="24">
        <v>16</v>
      </c>
      <c r="S2" s="24">
        <v>17</v>
      </c>
      <c r="T2" s="24">
        <v>18</v>
      </c>
      <c r="U2" s="24">
        <v>19</v>
      </c>
      <c r="V2" s="24">
        <v>20</v>
      </c>
      <c r="W2" s="24">
        <v>21</v>
      </c>
      <c r="X2" s="24">
        <v>22</v>
      </c>
      <c r="Y2" s="24">
        <v>23</v>
      </c>
      <c r="Z2" s="24">
        <v>24</v>
      </c>
      <c r="AA2" s="24">
        <v>25</v>
      </c>
      <c r="AB2" s="24">
        <v>26</v>
      </c>
      <c r="AC2" s="24">
        <v>27</v>
      </c>
      <c r="AD2" s="24">
        <v>28</v>
      </c>
      <c r="AE2" s="32">
        <v>29</v>
      </c>
      <c r="AF2" s="32">
        <v>30</v>
      </c>
      <c r="AG2" s="34">
        <v>31</v>
      </c>
      <c r="AH2" s="34">
        <v>32</v>
      </c>
      <c r="AI2" s="34">
        <v>33</v>
      </c>
      <c r="AJ2" s="34">
        <v>34</v>
      </c>
      <c r="AK2" s="34">
        <v>35</v>
      </c>
      <c r="AL2" s="34">
        <v>36</v>
      </c>
      <c r="AM2" s="34">
        <v>37</v>
      </c>
      <c r="AN2" s="34">
        <v>38</v>
      </c>
      <c r="AO2" s="34">
        <v>39</v>
      </c>
      <c r="AP2" s="34">
        <v>40</v>
      </c>
      <c r="AQ2" s="34">
        <v>41</v>
      </c>
      <c r="AR2" s="34">
        <v>42</v>
      </c>
      <c r="AS2" s="34">
        <v>43</v>
      </c>
      <c r="AT2" s="34">
        <v>44</v>
      </c>
    </row>
    <row r="3" spans="1:46" x14ac:dyDescent="0.25">
      <c r="B3" s="3" t="s">
        <v>9</v>
      </c>
    </row>
    <row r="4" spans="1:46" x14ac:dyDescent="0.25">
      <c r="A4" t="s">
        <v>162</v>
      </c>
      <c r="B4" s="4" t="s">
        <v>0</v>
      </c>
      <c r="C4" s="12">
        <v>25</v>
      </c>
      <c r="D4" s="12">
        <v>20</v>
      </c>
      <c r="E4" s="12">
        <v>22</v>
      </c>
      <c r="F4" s="12">
        <v>64</v>
      </c>
      <c r="G4" s="12">
        <v>20</v>
      </c>
      <c r="H4" s="12">
        <v>34</v>
      </c>
      <c r="I4" s="12">
        <v>51</v>
      </c>
      <c r="J4" s="12">
        <v>21</v>
      </c>
      <c r="K4" s="12">
        <v>38</v>
      </c>
      <c r="L4" s="12">
        <v>20</v>
      </c>
      <c r="M4" s="12">
        <v>23</v>
      </c>
      <c r="N4" s="12">
        <v>22</v>
      </c>
      <c r="O4" s="12">
        <v>20</v>
      </c>
      <c r="P4" s="12">
        <v>36</v>
      </c>
      <c r="Q4" s="12">
        <v>34</v>
      </c>
      <c r="R4" s="12">
        <v>32</v>
      </c>
      <c r="S4" s="12">
        <v>33</v>
      </c>
      <c r="T4" s="12">
        <v>42</v>
      </c>
      <c r="U4" s="12">
        <v>38</v>
      </c>
      <c r="V4" s="12">
        <v>24</v>
      </c>
      <c r="W4" s="12">
        <v>23</v>
      </c>
      <c r="X4" s="12">
        <v>24</v>
      </c>
      <c r="Y4" s="12">
        <v>20</v>
      </c>
      <c r="Z4" s="12">
        <v>19</v>
      </c>
      <c r="AA4" s="12">
        <v>35</v>
      </c>
      <c r="AB4" s="12">
        <v>22</v>
      </c>
      <c r="AC4" s="12">
        <v>27</v>
      </c>
      <c r="AD4" s="12">
        <v>31</v>
      </c>
      <c r="AE4" s="12">
        <v>30</v>
      </c>
      <c r="AF4" s="12">
        <v>52</v>
      </c>
      <c r="AG4" s="35">
        <v>22</v>
      </c>
      <c r="AH4" s="35">
        <v>39</v>
      </c>
      <c r="AI4" s="35">
        <v>48</v>
      </c>
      <c r="AJ4" s="35">
        <v>40</v>
      </c>
      <c r="AK4" s="35">
        <v>23</v>
      </c>
      <c r="AL4" s="35">
        <v>29</v>
      </c>
      <c r="AM4" s="35">
        <v>36</v>
      </c>
      <c r="AN4" s="35">
        <v>33</v>
      </c>
      <c r="AO4" s="35">
        <v>68</v>
      </c>
      <c r="AP4" s="38">
        <v>47</v>
      </c>
    </row>
    <row r="5" spans="1:46" x14ac:dyDescent="0.25">
      <c r="A5" t="s">
        <v>163</v>
      </c>
      <c r="B5" s="4" t="s">
        <v>1</v>
      </c>
      <c r="C5" s="12">
        <v>0</v>
      </c>
      <c r="D5" s="12">
        <v>1</v>
      </c>
      <c r="E5" s="12">
        <v>0</v>
      </c>
      <c r="F5" s="12">
        <v>0</v>
      </c>
      <c r="G5" s="12">
        <v>0</v>
      </c>
      <c r="H5" s="12">
        <v>1</v>
      </c>
      <c r="I5" s="12">
        <v>1</v>
      </c>
      <c r="J5" s="12">
        <v>0</v>
      </c>
      <c r="K5" s="12">
        <v>1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1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1</v>
      </c>
      <c r="AA5" s="12">
        <v>0</v>
      </c>
      <c r="AB5" s="12">
        <v>0</v>
      </c>
      <c r="AC5" s="12">
        <v>0</v>
      </c>
      <c r="AD5" s="12">
        <v>0</v>
      </c>
      <c r="AE5" s="12">
        <v>1</v>
      </c>
      <c r="AF5" s="12">
        <v>1</v>
      </c>
      <c r="AG5" s="35">
        <v>0</v>
      </c>
      <c r="AH5" s="35">
        <v>0</v>
      </c>
      <c r="AI5" s="35">
        <v>1</v>
      </c>
      <c r="AJ5" s="35">
        <v>1</v>
      </c>
      <c r="AK5" s="35">
        <v>0</v>
      </c>
      <c r="AL5" s="35">
        <v>0</v>
      </c>
      <c r="AM5" s="35">
        <v>0</v>
      </c>
      <c r="AN5" s="35">
        <v>1</v>
      </c>
      <c r="AO5" s="35">
        <v>1</v>
      </c>
      <c r="AP5" s="38">
        <v>1</v>
      </c>
    </row>
    <row r="6" spans="1:46" x14ac:dyDescent="0.25">
      <c r="A6" t="s">
        <v>164</v>
      </c>
      <c r="B6" s="4" t="s">
        <v>2</v>
      </c>
      <c r="C6" s="12">
        <v>1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1</v>
      </c>
      <c r="K6" s="12">
        <v>1</v>
      </c>
      <c r="L6" s="12">
        <v>1</v>
      </c>
      <c r="M6" s="12">
        <v>1</v>
      </c>
      <c r="N6" s="12">
        <v>0</v>
      </c>
      <c r="O6" s="12">
        <v>1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1</v>
      </c>
      <c r="W6" s="12">
        <v>1</v>
      </c>
      <c r="X6" s="12">
        <v>1</v>
      </c>
      <c r="Y6" s="12">
        <v>1</v>
      </c>
      <c r="Z6" s="12">
        <v>0</v>
      </c>
      <c r="AA6" s="12">
        <v>1</v>
      </c>
      <c r="AB6" s="12">
        <v>0</v>
      </c>
      <c r="AC6" s="12">
        <v>1</v>
      </c>
      <c r="AD6" s="12">
        <v>0</v>
      </c>
      <c r="AE6" s="12">
        <v>0</v>
      </c>
      <c r="AF6" s="12">
        <v>0</v>
      </c>
      <c r="AG6" s="35">
        <v>1</v>
      </c>
      <c r="AH6" s="35">
        <v>1</v>
      </c>
      <c r="AI6" s="35">
        <v>0</v>
      </c>
      <c r="AJ6" s="35">
        <v>0</v>
      </c>
      <c r="AK6" s="35">
        <v>1</v>
      </c>
      <c r="AL6" s="35">
        <v>1</v>
      </c>
      <c r="AM6" s="35">
        <v>1</v>
      </c>
      <c r="AN6" s="35">
        <v>0</v>
      </c>
      <c r="AO6" s="35">
        <v>0</v>
      </c>
      <c r="AP6" s="38">
        <v>0</v>
      </c>
    </row>
    <row r="7" spans="1:46" x14ac:dyDescent="0.25">
      <c r="A7" t="s">
        <v>165</v>
      </c>
      <c r="B7" s="4" t="s">
        <v>3</v>
      </c>
      <c r="C7" s="12">
        <v>1</v>
      </c>
      <c r="D7" s="12">
        <v>0</v>
      </c>
      <c r="E7" s="12">
        <v>1</v>
      </c>
      <c r="F7" s="12">
        <v>1</v>
      </c>
      <c r="G7" s="12">
        <v>0</v>
      </c>
      <c r="H7" s="12">
        <v>1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1</v>
      </c>
      <c r="P7" s="12">
        <v>1</v>
      </c>
      <c r="Q7" s="12">
        <v>1</v>
      </c>
      <c r="R7" s="12">
        <v>0</v>
      </c>
      <c r="S7" s="12">
        <v>1</v>
      </c>
      <c r="T7" s="12">
        <v>1</v>
      </c>
      <c r="U7" s="12">
        <v>1</v>
      </c>
      <c r="V7" s="12">
        <v>1</v>
      </c>
      <c r="W7" s="12">
        <v>0</v>
      </c>
      <c r="X7" s="12">
        <v>0</v>
      </c>
      <c r="Y7" s="12">
        <v>0</v>
      </c>
      <c r="Z7" s="12">
        <v>1</v>
      </c>
      <c r="AA7" s="12">
        <v>1</v>
      </c>
      <c r="AB7" s="12">
        <v>1</v>
      </c>
      <c r="AC7" s="12">
        <v>0</v>
      </c>
      <c r="AD7" s="12">
        <v>0</v>
      </c>
      <c r="AE7" s="12">
        <v>1</v>
      </c>
      <c r="AF7" s="12">
        <v>1</v>
      </c>
      <c r="AG7" s="35">
        <v>1</v>
      </c>
      <c r="AH7" s="35">
        <v>0</v>
      </c>
      <c r="AI7" s="35">
        <v>0</v>
      </c>
      <c r="AJ7" s="35">
        <v>1</v>
      </c>
      <c r="AK7" s="35">
        <v>0</v>
      </c>
      <c r="AL7" s="35">
        <v>0</v>
      </c>
      <c r="AM7" s="35">
        <v>0</v>
      </c>
      <c r="AN7" s="35">
        <v>0</v>
      </c>
      <c r="AO7" s="35">
        <v>1</v>
      </c>
      <c r="AP7" s="38">
        <v>1</v>
      </c>
    </row>
    <row r="8" spans="1:46" x14ac:dyDescent="0.25">
      <c r="A8" t="s">
        <v>182</v>
      </c>
      <c r="B8" s="4" t="s">
        <v>4</v>
      </c>
      <c r="C8" s="12">
        <v>2</v>
      </c>
      <c r="D8" s="12">
        <v>1</v>
      </c>
      <c r="E8" s="12">
        <v>1</v>
      </c>
      <c r="F8" s="12">
        <v>0</v>
      </c>
      <c r="G8" s="12">
        <v>1</v>
      </c>
      <c r="H8" s="12">
        <v>2</v>
      </c>
      <c r="I8" s="12">
        <v>1</v>
      </c>
      <c r="J8" s="12">
        <v>1</v>
      </c>
      <c r="K8" s="12">
        <v>0</v>
      </c>
      <c r="L8" s="12">
        <v>1</v>
      </c>
      <c r="M8" s="12">
        <v>1</v>
      </c>
      <c r="N8" s="12">
        <v>1</v>
      </c>
      <c r="O8" s="12">
        <v>1</v>
      </c>
      <c r="P8" s="12">
        <v>2</v>
      </c>
      <c r="Q8" s="12">
        <v>1</v>
      </c>
      <c r="R8" s="12">
        <v>1</v>
      </c>
      <c r="S8" s="12">
        <v>1</v>
      </c>
      <c r="T8" s="12">
        <v>1</v>
      </c>
      <c r="U8" s="12">
        <v>1</v>
      </c>
      <c r="V8" s="12">
        <v>2</v>
      </c>
      <c r="W8" s="12">
        <v>2</v>
      </c>
      <c r="X8" s="12">
        <v>2</v>
      </c>
      <c r="Y8" s="12">
        <v>1</v>
      </c>
      <c r="Z8" s="12">
        <v>1</v>
      </c>
      <c r="AA8" s="12">
        <v>2</v>
      </c>
      <c r="AB8" s="12">
        <v>1</v>
      </c>
      <c r="AC8" s="12">
        <v>2</v>
      </c>
      <c r="AD8" s="12">
        <v>4</v>
      </c>
      <c r="AE8" s="12">
        <v>3</v>
      </c>
      <c r="AF8" s="12">
        <v>3</v>
      </c>
      <c r="AG8" s="35">
        <v>1</v>
      </c>
      <c r="AH8" s="35">
        <v>3</v>
      </c>
      <c r="AI8" s="35">
        <v>1</v>
      </c>
      <c r="AJ8" s="35">
        <v>1</v>
      </c>
      <c r="AK8" s="35">
        <v>3</v>
      </c>
      <c r="AL8" s="35">
        <v>3</v>
      </c>
      <c r="AM8" s="35">
        <v>3</v>
      </c>
      <c r="AN8" s="35">
        <v>3</v>
      </c>
      <c r="AO8" s="35">
        <v>1</v>
      </c>
      <c r="AP8" s="38">
        <v>3</v>
      </c>
    </row>
    <row r="9" spans="1:46" x14ac:dyDescent="0.25">
      <c r="A9" t="s">
        <v>183</v>
      </c>
      <c r="B9" s="4" t="s">
        <v>5</v>
      </c>
      <c r="C9" s="12">
        <v>1</v>
      </c>
      <c r="D9" s="12">
        <v>1</v>
      </c>
      <c r="E9" s="12">
        <v>5</v>
      </c>
      <c r="F9" s="12">
        <v>0</v>
      </c>
      <c r="G9" s="12">
        <v>6</v>
      </c>
      <c r="H9" s="12">
        <v>0</v>
      </c>
      <c r="I9" s="12">
        <v>0</v>
      </c>
      <c r="J9" s="12">
        <v>0</v>
      </c>
      <c r="K9" s="12">
        <v>5</v>
      </c>
      <c r="L9" s="12">
        <v>1</v>
      </c>
      <c r="M9" s="12">
        <v>1</v>
      </c>
      <c r="N9" s="12">
        <v>0</v>
      </c>
      <c r="O9" s="12">
        <v>0</v>
      </c>
      <c r="P9" s="12">
        <v>0</v>
      </c>
      <c r="Q9" s="12">
        <v>1</v>
      </c>
      <c r="R9" s="12">
        <v>1</v>
      </c>
      <c r="S9" s="12">
        <v>5</v>
      </c>
      <c r="T9" s="12">
        <v>6</v>
      </c>
      <c r="U9" s="12">
        <v>1</v>
      </c>
      <c r="V9" s="12">
        <v>1</v>
      </c>
      <c r="W9" s="12">
        <v>6</v>
      </c>
      <c r="X9" s="12">
        <v>4</v>
      </c>
      <c r="Y9" s="12">
        <v>1</v>
      </c>
      <c r="Z9" s="12">
        <v>1</v>
      </c>
      <c r="AA9" s="12">
        <v>1</v>
      </c>
      <c r="AB9" s="12">
        <v>0</v>
      </c>
      <c r="AC9" s="12">
        <v>1</v>
      </c>
      <c r="AD9" s="12">
        <v>2</v>
      </c>
      <c r="AE9" s="12">
        <v>1</v>
      </c>
      <c r="AF9" s="12">
        <v>1</v>
      </c>
      <c r="AG9" s="35">
        <v>1</v>
      </c>
      <c r="AH9" s="35">
        <v>6</v>
      </c>
      <c r="AI9" s="35">
        <v>0</v>
      </c>
      <c r="AJ9" s="35">
        <v>5</v>
      </c>
      <c r="AK9" s="35">
        <v>6</v>
      </c>
      <c r="AL9" s="35">
        <v>0</v>
      </c>
      <c r="AM9" s="35">
        <v>0</v>
      </c>
      <c r="AN9" s="35">
        <v>0</v>
      </c>
      <c r="AO9" s="35">
        <v>4</v>
      </c>
      <c r="AP9" s="38">
        <v>0</v>
      </c>
    </row>
    <row r="10" spans="1:46" x14ac:dyDescent="0.25">
      <c r="A10" t="s">
        <v>189</v>
      </c>
      <c r="B10" s="4" t="s">
        <v>6</v>
      </c>
      <c r="C10" s="12">
        <v>0</v>
      </c>
      <c r="D10" s="12">
        <v>1</v>
      </c>
      <c r="E10" s="12">
        <v>0</v>
      </c>
      <c r="F10" s="12">
        <v>1</v>
      </c>
      <c r="G10" s="12">
        <v>1</v>
      </c>
      <c r="H10" s="12">
        <v>1</v>
      </c>
      <c r="I10" s="12">
        <v>1</v>
      </c>
      <c r="J10" s="12">
        <v>0</v>
      </c>
      <c r="K10" s="12">
        <v>1</v>
      </c>
      <c r="L10" s="12">
        <v>0</v>
      </c>
      <c r="M10" s="12">
        <v>0</v>
      </c>
      <c r="N10" s="12">
        <v>0</v>
      </c>
      <c r="O10" s="12">
        <v>1</v>
      </c>
      <c r="P10" s="12">
        <v>0</v>
      </c>
      <c r="Q10" s="12">
        <v>0</v>
      </c>
      <c r="R10" s="12">
        <v>1</v>
      </c>
      <c r="S10" s="12">
        <v>1</v>
      </c>
      <c r="T10" s="12">
        <v>0</v>
      </c>
      <c r="U10" s="12">
        <v>0</v>
      </c>
      <c r="V10" s="12">
        <v>0</v>
      </c>
      <c r="W10" s="12">
        <v>1</v>
      </c>
      <c r="X10" s="12">
        <v>0</v>
      </c>
      <c r="Y10" s="12">
        <v>1</v>
      </c>
      <c r="Z10" s="12">
        <v>0</v>
      </c>
      <c r="AA10" s="12">
        <v>0</v>
      </c>
      <c r="AB10" s="12">
        <v>1</v>
      </c>
      <c r="AC10" s="12">
        <v>0</v>
      </c>
      <c r="AD10" s="12">
        <v>0</v>
      </c>
      <c r="AE10" s="12">
        <v>0</v>
      </c>
      <c r="AF10" s="12">
        <v>1</v>
      </c>
      <c r="AG10" s="35">
        <v>0</v>
      </c>
      <c r="AH10" s="35">
        <v>1</v>
      </c>
      <c r="AI10" s="35">
        <v>0</v>
      </c>
      <c r="AJ10" s="35">
        <v>1</v>
      </c>
      <c r="AK10" s="35">
        <v>1</v>
      </c>
      <c r="AL10" s="35">
        <v>0</v>
      </c>
      <c r="AM10" s="35">
        <v>1</v>
      </c>
      <c r="AN10" s="35">
        <v>1</v>
      </c>
      <c r="AO10" s="35">
        <v>0</v>
      </c>
      <c r="AP10" s="38">
        <v>1</v>
      </c>
    </row>
    <row r="11" spans="1:46" x14ac:dyDescent="0.25">
      <c r="A11" t="s">
        <v>194</v>
      </c>
      <c r="B11" s="4" t="s">
        <v>7</v>
      </c>
      <c r="C11" s="12">
        <v>0</v>
      </c>
      <c r="E11" s="12">
        <v>0</v>
      </c>
      <c r="J11" s="12">
        <v>0</v>
      </c>
      <c r="L11" s="12">
        <v>2</v>
      </c>
      <c r="M11" s="12">
        <v>1</v>
      </c>
      <c r="N11" s="12">
        <v>1</v>
      </c>
      <c r="P11" s="12">
        <v>0</v>
      </c>
      <c r="Q11" s="12">
        <v>1</v>
      </c>
      <c r="T11" s="12">
        <v>1</v>
      </c>
      <c r="U11" s="12">
        <v>1</v>
      </c>
      <c r="V11" s="12">
        <v>1</v>
      </c>
      <c r="X11" s="12">
        <v>0</v>
      </c>
      <c r="Z11" s="12">
        <v>1</v>
      </c>
      <c r="AA11" s="12">
        <v>0</v>
      </c>
      <c r="AC11" s="12">
        <v>1</v>
      </c>
      <c r="AD11" s="12">
        <v>2</v>
      </c>
      <c r="AE11" s="12">
        <v>1</v>
      </c>
      <c r="AG11" s="35">
        <v>0</v>
      </c>
      <c r="AI11" s="35">
        <v>1</v>
      </c>
      <c r="AL11" s="35">
        <v>0</v>
      </c>
      <c r="AO11" s="35">
        <v>0</v>
      </c>
    </row>
    <row r="12" spans="1:46" x14ac:dyDescent="0.25">
      <c r="A12" t="s">
        <v>199</v>
      </c>
      <c r="B12" s="4" t="s">
        <v>8</v>
      </c>
      <c r="C12" s="12">
        <v>2</v>
      </c>
      <c r="D12" s="12">
        <v>2</v>
      </c>
      <c r="E12" s="12">
        <v>0</v>
      </c>
      <c r="F12" s="12">
        <v>2</v>
      </c>
      <c r="G12" s="12">
        <v>2</v>
      </c>
      <c r="H12" s="12">
        <v>2</v>
      </c>
      <c r="I12" s="12">
        <v>3</v>
      </c>
      <c r="J12" s="12">
        <v>2</v>
      </c>
      <c r="K12" s="12">
        <v>2</v>
      </c>
      <c r="L12" s="12">
        <v>2</v>
      </c>
      <c r="M12" s="12">
        <v>2</v>
      </c>
      <c r="N12" s="12">
        <v>2</v>
      </c>
      <c r="O12" s="12">
        <v>2</v>
      </c>
      <c r="P12" s="12">
        <v>2</v>
      </c>
      <c r="Q12" s="12">
        <v>2</v>
      </c>
      <c r="R12" s="12">
        <v>2</v>
      </c>
      <c r="S12" s="12">
        <v>2</v>
      </c>
      <c r="T12" s="12">
        <v>2</v>
      </c>
      <c r="U12" s="12">
        <v>2</v>
      </c>
      <c r="V12" s="12">
        <v>1</v>
      </c>
      <c r="W12" s="12">
        <v>2</v>
      </c>
      <c r="X12" s="12">
        <v>3</v>
      </c>
      <c r="Y12" s="12">
        <v>0</v>
      </c>
      <c r="Z12" s="12">
        <v>2</v>
      </c>
      <c r="AA12" s="12">
        <v>2</v>
      </c>
      <c r="AB12" s="12">
        <v>0</v>
      </c>
      <c r="AC12" s="12">
        <v>1</v>
      </c>
      <c r="AD12" s="12">
        <v>2</v>
      </c>
      <c r="AE12" s="12">
        <v>1</v>
      </c>
      <c r="AF12" s="12">
        <v>2</v>
      </c>
      <c r="AG12" s="35">
        <v>2</v>
      </c>
      <c r="AH12" s="35">
        <v>2</v>
      </c>
      <c r="AI12" s="35">
        <v>2</v>
      </c>
      <c r="AJ12" s="35">
        <v>2</v>
      </c>
      <c r="AK12" s="35">
        <v>2</v>
      </c>
      <c r="AL12" s="35">
        <v>2</v>
      </c>
      <c r="AM12" s="35">
        <v>2</v>
      </c>
      <c r="AN12" s="35">
        <v>2</v>
      </c>
      <c r="AO12" s="35">
        <v>2</v>
      </c>
      <c r="AP12" s="38">
        <v>2</v>
      </c>
    </row>
    <row r="13" spans="1:46" x14ac:dyDescent="0.25">
      <c r="A13" t="s">
        <v>205</v>
      </c>
      <c r="B13" s="4" t="s">
        <v>144</v>
      </c>
      <c r="C13" s="12">
        <v>52</v>
      </c>
      <c r="D13" s="12">
        <v>171</v>
      </c>
      <c r="E13" s="12">
        <v>17</v>
      </c>
      <c r="F13" s="12">
        <v>182</v>
      </c>
      <c r="G13" s="12">
        <v>107</v>
      </c>
      <c r="H13" s="12">
        <v>92</v>
      </c>
      <c r="I13" s="12">
        <v>131</v>
      </c>
      <c r="J13" s="12">
        <v>63</v>
      </c>
      <c r="K13" s="12">
        <v>233</v>
      </c>
      <c r="L13" s="12">
        <v>157</v>
      </c>
      <c r="M13" s="12">
        <v>24</v>
      </c>
      <c r="N13" s="12">
        <v>63</v>
      </c>
      <c r="O13" s="12">
        <v>3</v>
      </c>
      <c r="P13" s="12">
        <v>53</v>
      </c>
      <c r="Q13" s="12">
        <v>50</v>
      </c>
      <c r="R13" s="12">
        <v>94</v>
      </c>
      <c r="S13" s="12">
        <v>313</v>
      </c>
      <c r="T13" s="12">
        <v>124</v>
      </c>
      <c r="U13" s="12">
        <v>36</v>
      </c>
      <c r="V13" s="12">
        <v>158</v>
      </c>
      <c r="W13" s="12">
        <v>174</v>
      </c>
      <c r="X13" s="12">
        <v>2</v>
      </c>
      <c r="Y13" s="12">
        <v>13</v>
      </c>
      <c r="Z13" s="12">
        <v>24</v>
      </c>
      <c r="AA13" s="12">
        <v>188</v>
      </c>
      <c r="AB13" s="12">
        <v>31</v>
      </c>
      <c r="AC13" s="12">
        <v>1</v>
      </c>
      <c r="AD13" s="12">
        <v>31</v>
      </c>
      <c r="AE13" s="12">
        <v>32</v>
      </c>
      <c r="AF13" s="12">
        <v>90</v>
      </c>
      <c r="AN13" s="35">
        <v>58</v>
      </c>
      <c r="AO13" s="35">
        <v>105</v>
      </c>
      <c r="AP13" s="38">
        <v>82</v>
      </c>
    </row>
    <row r="14" spans="1:46" x14ac:dyDescent="0.25">
      <c r="A14" t="s">
        <v>206</v>
      </c>
      <c r="B14" s="4" t="s">
        <v>112</v>
      </c>
      <c r="C14" s="12">
        <f>IF(C12=2,1,0)</f>
        <v>1</v>
      </c>
      <c r="D14" s="12">
        <f t="shared" ref="D14:AT14" si="0">IF(D12=2,1,0)</f>
        <v>1</v>
      </c>
      <c r="E14" s="12">
        <f t="shared" si="0"/>
        <v>0</v>
      </c>
      <c r="F14" s="12">
        <f t="shared" si="0"/>
        <v>1</v>
      </c>
      <c r="G14" s="12">
        <f t="shared" si="0"/>
        <v>1</v>
      </c>
      <c r="H14" s="12">
        <f t="shared" si="0"/>
        <v>1</v>
      </c>
      <c r="I14" s="12">
        <f t="shared" si="0"/>
        <v>0</v>
      </c>
      <c r="J14" s="12">
        <f t="shared" si="0"/>
        <v>1</v>
      </c>
      <c r="K14" s="12">
        <f t="shared" si="0"/>
        <v>1</v>
      </c>
      <c r="L14" s="12">
        <f t="shared" si="0"/>
        <v>1</v>
      </c>
      <c r="M14" s="12">
        <f t="shared" si="0"/>
        <v>1</v>
      </c>
      <c r="N14" s="12">
        <f t="shared" si="0"/>
        <v>1</v>
      </c>
      <c r="O14" s="12">
        <f t="shared" si="0"/>
        <v>1</v>
      </c>
      <c r="P14" s="12">
        <f t="shared" si="0"/>
        <v>1</v>
      </c>
      <c r="Q14" s="12">
        <f t="shared" si="0"/>
        <v>1</v>
      </c>
      <c r="R14" s="12">
        <f t="shared" si="0"/>
        <v>1</v>
      </c>
      <c r="S14" s="12">
        <f t="shared" si="0"/>
        <v>1</v>
      </c>
      <c r="T14" s="12">
        <f t="shared" si="0"/>
        <v>1</v>
      </c>
      <c r="U14" s="12">
        <f t="shared" si="0"/>
        <v>1</v>
      </c>
      <c r="V14" s="12">
        <f t="shared" si="0"/>
        <v>0</v>
      </c>
      <c r="W14" s="12">
        <f t="shared" si="0"/>
        <v>1</v>
      </c>
      <c r="X14" s="12">
        <f t="shared" si="0"/>
        <v>0</v>
      </c>
      <c r="Y14" s="12">
        <f t="shared" si="0"/>
        <v>0</v>
      </c>
      <c r="Z14" s="12">
        <f t="shared" si="0"/>
        <v>1</v>
      </c>
      <c r="AA14" s="12">
        <f t="shared" si="0"/>
        <v>1</v>
      </c>
      <c r="AB14" s="12">
        <f t="shared" si="0"/>
        <v>0</v>
      </c>
      <c r="AC14" s="12">
        <f t="shared" si="0"/>
        <v>0</v>
      </c>
      <c r="AD14" s="12">
        <f t="shared" si="0"/>
        <v>1</v>
      </c>
      <c r="AE14" s="12">
        <f t="shared" si="0"/>
        <v>0</v>
      </c>
      <c r="AF14" s="12">
        <f t="shared" si="0"/>
        <v>1</v>
      </c>
      <c r="AG14" s="35">
        <f t="shared" si="0"/>
        <v>1</v>
      </c>
      <c r="AH14" s="35">
        <f t="shared" si="0"/>
        <v>1</v>
      </c>
      <c r="AI14" s="35">
        <f t="shared" si="0"/>
        <v>1</v>
      </c>
      <c r="AJ14" s="35">
        <f t="shared" si="0"/>
        <v>1</v>
      </c>
      <c r="AK14" s="35">
        <f t="shared" si="0"/>
        <v>1</v>
      </c>
      <c r="AL14" s="35">
        <f t="shared" si="0"/>
        <v>1</v>
      </c>
      <c r="AM14" s="35">
        <f t="shared" si="0"/>
        <v>1</v>
      </c>
      <c r="AN14" s="35">
        <f t="shared" si="0"/>
        <v>1</v>
      </c>
      <c r="AO14" s="35">
        <f t="shared" si="0"/>
        <v>1</v>
      </c>
      <c r="AP14" s="35">
        <f t="shared" si="0"/>
        <v>1</v>
      </c>
      <c r="AQ14" s="35">
        <f t="shared" si="0"/>
        <v>0</v>
      </c>
      <c r="AR14" s="35">
        <f t="shared" si="0"/>
        <v>0</v>
      </c>
      <c r="AS14" s="35">
        <f t="shared" si="0"/>
        <v>0</v>
      </c>
      <c r="AT14" s="35">
        <f t="shared" si="0"/>
        <v>0</v>
      </c>
    </row>
    <row r="15" spans="1:46" x14ac:dyDescent="0.25">
      <c r="B15" s="5" t="s">
        <v>10</v>
      </c>
    </row>
    <row r="16" spans="1:46" x14ac:dyDescent="0.25">
      <c r="A16" t="s">
        <v>209</v>
      </c>
      <c r="B16" s="6" t="s">
        <v>26</v>
      </c>
      <c r="C16" s="12" t="s">
        <v>30</v>
      </c>
      <c r="D16" s="12" t="s">
        <v>44</v>
      </c>
      <c r="E16" s="12" t="s">
        <v>27</v>
      </c>
      <c r="F16" s="12" t="s">
        <v>44</v>
      </c>
      <c r="G16" s="12" t="s">
        <v>31</v>
      </c>
      <c r="H16" s="12" t="s">
        <v>43</v>
      </c>
      <c r="I16" s="12" t="s">
        <v>36</v>
      </c>
      <c r="J16" s="12" t="s">
        <v>27</v>
      </c>
      <c r="K16" s="12" t="s">
        <v>44</v>
      </c>
      <c r="L16" s="12" t="s">
        <v>36</v>
      </c>
      <c r="M16" s="12" t="s">
        <v>43</v>
      </c>
      <c r="N16" s="12" t="s">
        <v>30</v>
      </c>
      <c r="O16" s="12" t="s">
        <v>43</v>
      </c>
      <c r="P16" s="12" t="s">
        <v>38</v>
      </c>
      <c r="Q16" s="12" t="s">
        <v>43</v>
      </c>
      <c r="R16" s="12" t="s">
        <v>30</v>
      </c>
      <c r="S16" s="12" t="s">
        <v>27</v>
      </c>
      <c r="T16" s="12" t="s">
        <v>44</v>
      </c>
      <c r="U16" s="12" t="s">
        <v>27</v>
      </c>
      <c r="V16" s="12" t="s">
        <v>30</v>
      </c>
      <c r="W16" s="12" t="s">
        <v>31</v>
      </c>
      <c r="X16" s="12" t="s">
        <v>30</v>
      </c>
      <c r="Y16" s="12" t="s">
        <v>30</v>
      </c>
      <c r="Z16" s="12" t="s">
        <v>43</v>
      </c>
      <c r="AA16" s="12" t="s">
        <v>27</v>
      </c>
      <c r="AB16" s="12" t="s">
        <v>31</v>
      </c>
      <c r="AC16" s="12" t="s">
        <v>43</v>
      </c>
      <c r="AD16" s="12" t="s">
        <v>43</v>
      </c>
      <c r="AE16" s="12" t="s">
        <v>43</v>
      </c>
      <c r="AF16" s="12" t="s">
        <v>44</v>
      </c>
      <c r="AG16" s="35" t="s">
        <v>27</v>
      </c>
      <c r="AH16" s="35" t="s">
        <v>43</v>
      </c>
      <c r="AI16" s="35" t="s">
        <v>27</v>
      </c>
      <c r="AJ16" s="35" t="s">
        <v>31</v>
      </c>
      <c r="AK16" s="35" t="s">
        <v>31</v>
      </c>
      <c r="AL16" s="35" t="s">
        <v>31</v>
      </c>
      <c r="AM16" s="35" t="s">
        <v>31</v>
      </c>
      <c r="AN16" s="35" t="s">
        <v>30</v>
      </c>
      <c r="AO16" s="35" t="s">
        <v>43</v>
      </c>
      <c r="AP16" s="35" t="s">
        <v>31</v>
      </c>
      <c r="AQ16" s="35"/>
      <c r="AR16" s="35"/>
      <c r="AS16" s="35"/>
      <c r="AT16" s="35"/>
    </row>
    <row r="17" spans="1:46" x14ac:dyDescent="0.25">
      <c r="A17" t="s">
        <v>210</v>
      </c>
      <c r="B17" s="6" t="s">
        <v>28</v>
      </c>
      <c r="C17" s="12" t="s">
        <v>43</v>
      </c>
      <c r="D17" s="12" t="s">
        <v>38</v>
      </c>
      <c r="E17" s="12" t="s">
        <v>29</v>
      </c>
      <c r="F17" s="12" t="s">
        <v>38</v>
      </c>
      <c r="G17" s="12" t="s">
        <v>30</v>
      </c>
      <c r="H17" s="12" t="s">
        <v>38</v>
      </c>
      <c r="I17" s="12" t="s">
        <v>30</v>
      </c>
      <c r="J17" s="12" t="s">
        <v>44</v>
      </c>
      <c r="K17" s="12" t="s">
        <v>36</v>
      </c>
      <c r="L17" s="12" t="s">
        <v>37</v>
      </c>
      <c r="M17" s="12" t="s">
        <v>44</v>
      </c>
      <c r="N17" s="12" t="s">
        <v>29</v>
      </c>
      <c r="O17" s="12" t="s">
        <v>31</v>
      </c>
      <c r="P17" s="12" t="s">
        <v>43</v>
      </c>
      <c r="Q17" s="12" t="s">
        <v>31</v>
      </c>
      <c r="R17" s="12" t="s">
        <v>29</v>
      </c>
      <c r="S17" s="12" t="s">
        <v>49</v>
      </c>
      <c r="T17" s="12" t="s">
        <v>37</v>
      </c>
      <c r="U17" s="12" t="s">
        <v>37</v>
      </c>
      <c r="V17" s="12" t="s">
        <v>38</v>
      </c>
      <c r="W17" s="12" t="s">
        <v>38</v>
      </c>
      <c r="X17" s="12" t="s">
        <v>36</v>
      </c>
      <c r="Y17" s="12" t="s">
        <v>30</v>
      </c>
      <c r="Z17" s="12" t="s">
        <v>37</v>
      </c>
      <c r="AA17" s="12" t="s">
        <v>38</v>
      </c>
      <c r="AB17" s="12" t="s">
        <v>38</v>
      </c>
      <c r="AC17" s="12" t="s">
        <v>38</v>
      </c>
      <c r="AD17" s="12" t="s">
        <v>27</v>
      </c>
      <c r="AE17" s="12" t="s">
        <v>38</v>
      </c>
      <c r="AF17" s="12" t="s">
        <v>31</v>
      </c>
      <c r="AG17" s="35" t="s">
        <v>29</v>
      </c>
      <c r="AH17" s="35" t="s">
        <v>27</v>
      </c>
      <c r="AI17" s="35" t="s">
        <v>38</v>
      </c>
      <c r="AJ17" s="35" t="s">
        <v>29</v>
      </c>
      <c r="AK17" s="35" t="s">
        <v>30</v>
      </c>
      <c r="AL17" s="35" t="s">
        <v>29</v>
      </c>
      <c r="AM17" s="35" t="s">
        <v>30</v>
      </c>
      <c r="AN17" s="35" t="s">
        <v>30</v>
      </c>
      <c r="AO17" s="35" t="s">
        <v>452</v>
      </c>
      <c r="AP17" s="35" t="s">
        <v>30</v>
      </c>
      <c r="AQ17" s="35"/>
      <c r="AR17" s="35"/>
      <c r="AS17" s="35"/>
      <c r="AT17" s="35"/>
    </row>
    <row r="18" spans="1:46" x14ac:dyDescent="0.25">
      <c r="A18" t="s">
        <v>211</v>
      </c>
      <c r="B18" s="6" t="s">
        <v>32</v>
      </c>
      <c r="C18" s="12" t="s">
        <v>44</v>
      </c>
      <c r="D18" s="12" t="s">
        <v>43</v>
      </c>
      <c r="E18" s="12" t="s">
        <v>29</v>
      </c>
      <c r="F18" s="12" t="s">
        <v>31</v>
      </c>
      <c r="G18" s="12" t="s">
        <v>43</v>
      </c>
      <c r="H18" s="12" t="s">
        <v>38</v>
      </c>
      <c r="I18" s="12" t="s">
        <v>29</v>
      </c>
      <c r="J18" s="12" t="s">
        <v>44</v>
      </c>
      <c r="K18" s="12" t="s">
        <v>38</v>
      </c>
      <c r="L18" s="12" t="s">
        <v>31</v>
      </c>
      <c r="M18" s="12" t="s">
        <v>38</v>
      </c>
      <c r="N18" s="12" t="s">
        <v>38</v>
      </c>
      <c r="O18" s="12" t="s">
        <v>29</v>
      </c>
      <c r="P18" s="12" t="s">
        <v>38</v>
      </c>
      <c r="Q18" s="12" t="s">
        <v>44</v>
      </c>
      <c r="R18" s="12" t="s">
        <v>29</v>
      </c>
      <c r="S18" s="12" t="s">
        <v>31</v>
      </c>
      <c r="T18" s="12" t="s">
        <v>37</v>
      </c>
      <c r="U18" s="12" t="s">
        <v>44</v>
      </c>
      <c r="V18" s="12" t="s">
        <v>44</v>
      </c>
      <c r="W18" s="12" t="s">
        <v>27</v>
      </c>
      <c r="X18" s="12" t="s">
        <v>29</v>
      </c>
      <c r="Y18" s="12" t="s">
        <v>44</v>
      </c>
      <c r="Z18" s="12" t="s">
        <v>31</v>
      </c>
      <c r="AA18" s="12" t="s">
        <v>43</v>
      </c>
      <c r="AB18" s="12" t="s">
        <v>44</v>
      </c>
      <c r="AC18" s="12" t="s">
        <v>38</v>
      </c>
      <c r="AD18" s="12" t="s">
        <v>43</v>
      </c>
      <c r="AE18" s="12" t="s">
        <v>31</v>
      </c>
      <c r="AF18" s="12" t="s">
        <v>29</v>
      </c>
      <c r="AG18" s="35" t="s">
        <v>44</v>
      </c>
      <c r="AH18" s="35" t="s">
        <v>43</v>
      </c>
      <c r="AI18" s="35" t="s">
        <v>43</v>
      </c>
      <c r="AJ18" s="35" t="s">
        <v>36</v>
      </c>
      <c r="AK18" s="35" t="s">
        <v>27</v>
      </c>
      <c r="AL18" s="35" t="s">
        <v>37</v>
      </c>
      <c r="AM18" s="35" t="s">
        <v>31</v>
      </c>
      <c r="AN18" s="35" t="s">
        <v>44</v>
      </c>
      <c r="AO18" s="35" t="s">
        <v>38</v>
      </c>
      <c r="AP18" s="35" t="s">
        <v>27</v>
      </c>
      <c r="AQ18" s="35"/>
      <c r="AR18" s="35"/>
      <c r="AS18" s="35"/>
      <c r="AT18" s="35"/>
    </row>
    <row r="19" spans="1:46" x14ac:dyDescent="0.25">
      <c r="A19" t="s">
        <v>212</v>
      </c>
      <c r="B19" s="6" t="s">
        <v>33</v>
      </c>
      <c r="C19" s="12" t="s">
        <v>30</v>
      </c>
      <c r="D19" s="12" t="s">
        <v>30</v>
      </c>
      <c r="E19" s="12" t="s">
        <v>31</v>
      </c>
      <c r="F19" s="12" t="s">
        <v>38</v>
      </c>
      <c r="G19" s="12" t="s">
        <v>43</v>
      </c>
      <c r="H19" s="12" t="s">
        <v>31</v>
      </c>
      <c r="I19" s="12" t="s">
        <v>49</v>
      </c>
      <c r="J19" s="12" t="s">
        <v>27</v>
      </c>
      <c r="K19" s="12" t="s">
        <v>31</v>
      </c>
      <c r="L19" s="12" t="s">
        <v>44</v>
      </c>
      <c r="M19" s="12" t="s">
        <v>43</v>
      </c>
      <c r="N19" s="12" t="s">
        <v>44</v>
      </c>
      <c r="O19" s="12" t="s">
        <v>27</v>
      </c>
      <c r="P19" s="12" t="s">
        <v>31</v>
      </c>
      <c r="Q19" s="12" t="s">
        <v>31</v>
      </c>
      <c r="R19" s="12" t="s">
        <v>29</v>
      </c>
      <c r="S19" s="12" t="s">
        <v>43</v>
      </c>
      <c r="T19" s="12" t="s">
        <v>30</v>
      </c>
      <c r="U19" s="12" t="s">
        <v>38</v>
      </c>
      <c r="V19" s="12" t="s">
        <v>43</v>
      </c>
      <c r="W19" s="12" t="s">
        <v>30</v>
      </c>
      <c r="X19" s="12" t="s">
        <v>38</v>
      </c>
      <c r="Y19" s="12" t="s">
        <v>27</v>
      </c>
      <c r="Z19" s="12" t="s">
        <v>30</v>
      </c>
      <c r="AA19" s="12" t="s">
        <v>30</v>
      </c>
      <c r="AB19" s="12" t="s">
        <v>38</v>
      </c>
      <c r="AC19" s="12" t="s">
        <v>44</v>
      </c>
      <c r="AD19" s="12" t="s">
        <v>36</v>
      </c>
      <c r="AE19" s="12" t="s">
        <v>38</v>
      </c>
      <c r="AF19" s="12" t="s">
        <v>36</v>
      </c>
      <c r="AG19" s="35" t="s">
        <v>27</v>
      </c>
      <c r="AH19" s="35" t="s">
        <v>43</v>
      </c>
      <c r="AI19" s="35" t="s">
        <v>27</v>
      </c>
      <c r="AJ19" s="35" t="s">
        <v>43</v>
      </c>
      <c r="AK19" s="35" t="s">
        <v>44</v>
      </c>
      <c r="AL19" s="35" t="s">
        <v>44</v>
      </c>
      <c r="AM19" s="35" t="s">
        <v>43</v>
      </c>
      <c r="AN19" s="35" t="s">
        <v>31</v>
      </c>
      <c r="AO19" s="35" t="s">
        <v>36</v>
      </c>
      <c r="AP19" s="35" t="s">
        <v>31</v>
      </c>
      <c r="AQ19" s="35"/>
      <c r="AR19" s="35"/>
      <c r="AS19" s="35"/>
      <c r="AT19" s="35"/>
    </row>
    <row r="20" spans="1:46" x14ac:dyDescent="0.25">
      <c r="B20" s="7" t="s">
        <v>24</v>
      </c>
    </row>
    <row r="21" spans="1:46" x14ac:dyDescent="0.25">
      <c r="A21" t="s">
        <v>213</v>
      </c>
      <c r="B21" s="8" t="s">
        <v>11</v>
      </c>
      <c r="C21" s="12">
        <v>3</v>
      </c>
      <c r="D21" s="12">
        <v>4</v>
      </c>
      <c r="E21" s="12">
        <v>4</v>
      </c>
      <c r="F21" s="12">
        <v>2524.9499999999998</v>
      </c>
      <c r="G21" s="12">
        <v>4</v>
      </c>
      <c r="H21" s="12">
        <v>4</v>
      </c>
      <c r="I21" s="12">
        <v>4</v>
      </c>
      <c r="J21" s="12">
        <v>4</v>
      </c>
      <c r="K21" s="12">
        <v>4</v>
      </c>
      <c r="L21" s="12">
        <v>4</v>
      </c>
      <c r="M21" s="12">
        <v>4</v>
      </c>
      <c r="N21" s="12">
        <v>4</v>
      </c>
      <c r="O21" s="12">
        <v>4</v>
      </c>
      <c r="P21" s="12">
        <v>3</v>
      </c>
      <c r="Q21" s="12">
        <v>4</v>
      </c>
      <c r="R21" s="12">
        <v>4</v>
      </c>
      <c r="S21" s="12">
        <v>4</v>
      </c>
      <c r="T21" s="12">
        <v>4</v>
      </c>
      <c r="U21" s="12">
        <v>4</v>
      </c>
      <c r="V21" s="12">
        <v>4</v>
      </c>
      <c r="W21" s="12">
        <v>4</v>
      </c>
      <c r="X21" s="12">
        <v>4</v>
      </c>
      <c r="Y21" s="12">
        <v>4</v>
      </c>
      <c r="Z21" s="12">
        <v>4</v>
      </c>
      <c r="AA21" s="12">
        <v>4</v>
      </c>
      <c r="AB21" s="12">
        <v>4</v>
      </c>
      <c r="AC21" s="12">
        <v>19</v>
      </c>
      <c r="AD21" s="12">
        <v>4</v>
      </c>
      <c r="AE21" s="12">
        <v>4</v>
      </c>
      <c r="AF21" s="12">
        <v>4</v>
      </c>
      <c r="AG21" s="35">
        <v>4</v>
      </c>
      <c r="AH21" s="35">
        <v>4</v>
      </c>
      <c r="AI21" s="35">
        <v>4</v>
      </c>
      <c r="AJ21" s="35">
        <v>4</v>
      </c>
      <c r="AK21" s="35">
        <v>4</v>
      </c>
      <c r="AL21" s="35">
        <v>5</v>
      </c>
      <c r="AM21" s="35">
        <v>4</v>
      </c>
      <c r="AN21" s="35">
        <v>4</v>
      </c>
      <c r="AO21" s="35">
        <v>4</v>
      </c>
      <c r="AP21" s="38">
        <v>4</v>
      </c>
    </row>
    <row r="22" spans="1:46" x14ac:dyDescent="0.25">
      <c r="A22" t="s">
        <v>215</v>
      </c>
      <c r="B22" s="9" t="s">
        <v>96</v>
      </c>
      <c r="C22" s="12">
        <f>IF(C21=4,1,0)</f>
        <v>0</v>
      </c>
      <c r="D22" s="12">
        <f t="shared" ref="D22:AT22" si="1">IF(D21=4,1,0)</f>
        <v>1</v>
      </c>
      <c r="E22" s="12">
        <f t="shared" si="1"/>
        <v>1</v>
      </c>
      <c r="F22" s="12">
        <f t="shared" si="1"/>
        <v>0</v>
      </c>
      <c r="G22" s="12">
        <f t="shared" si="1"/>
        <v>1</v>
      </c>
      <c r="H22" s="12">
        <f t="shared" si="1"/>
        <v>1</v>
      </c>
      <c r="I22" s="12">
        <f t="shared" si="1"/>
        <v>1</v>
      </c>
      <c r="J22" s="12">
        <f t="shared" si="1"/>
        <v>1</v>
      </c>
      <c r="K22" s="12">
        <f t="shared" si="1"/>
        <v>1</v>
      </c>
      <c r="L22" s="12">
        <f t="shared" si="1"/>
        <v>1</v>
      </c>
      <c r="M22" s="12">
        <f t="shared" si="1"/>
        <v>1</v>
      </c>
      <c r="N22" s="12">
        <f t="shared" si="1"/>
        <v>1</v>
      </c>
      <c r="O22" s="12">
        <f t="shared" si="1"/>
        <v>1</v>
      </c>
      <c r="P22" s="12">
        <f t="shared" si="1"/>
        <v>0</v>
      </c>
      <c r="Q22" s="12">
        <f t="shared" si="1"/>
        <v>1</v>
      </c>
      <c r="R22" s="12">
        <f t="shared" si="1"/>
        <v>1</v>
      </c>
      <c r="S22" s="12">
        <f t="shared" si="1"/>
        <v>1</v>
      </c>
      <c r="T22" s="12">
        <f t="shared" si="1"/>
        <v>1</v>
      </c>
      <c r="U22" s="12">
        <f t="shared" si="1"/>
        <v>1</v>
      </c>
      <c r="V22" s="12">
        <f t="shared" si="1"/>
        <v>1</v>
      </c>
      <c r="W22" s="12">
        <f t="shared" si="1"/>
        <v>1</v>
      </c>
      <c r="X22" s="12">
        <f t="shared" si="1"/>
        <v>1</v>
      </c>
      <c r="Y22" s="12">
        <f t="shared" si="1"/>
        <v>1</v>
      </c>
      <c r="Z22" s="12">
        <f t="shared" si="1"/>
        <v>1</v>
      </c>
      <c r="AA22" s="12">
        <f t="shared" si="1"/>
        <v>1</v>
      </c>
      <c r="AB22" s="12">
        <f t="shared" si="1"/>
        <v>1</v>
      </c>
      <c r="AC22" s="12">
        <f t="shared" si="1"/>
        <v>0</v>
      </c>
      <c r="AD22" s="12">
        <f t="shared" si="1"/>
        <v>1</v>
      </c>
      <c r="AE22" s="12">
        <f t="shared" si="1"/>
        <v>1</v>
      </c>
      <c r="AF22" s="12">
        <f t="shared" si="1"/>
        <v>1</v>
      </c>
      <c r="AG22" s="35">
        <f t="shared" si="1"/>
        <v>1</v>
      </c>
      <c r="AH22" s="35">
        <f t="shared" si="1"/>
        <v>1</v>
      </c>
      <c r="AI22" s="35">
        <f t="shared" si="1"/>
        <v>1</v>
      </c>
      <c r="AJ22" s="35">
        <f t="shared" si="1"/>
        <v>1</v>
      </c>
      <c r="AK22" s="35">
        <f t="shared" si="1"/>
        <v>1</v>
      </c>
      <c r="AL22" s="35">
        <f t="shared" si="1"/>
        <v>0</v>
      </c>
      <c r="AM22" s="35">
        <f t="shared" si="1"/>
        <v>1</v>
      </c>
      <c r="AN22" s="35">
        <f t="shared" si="1"/>
        <v>1</v>
      </c>
      <c r="AO22" s="35">
        <f t="shared" si="1"/>
        <v>1</v>
      </c>
      <c r="AP22" s="35">
        <f t="shared" si="1"/>
        <v>1</v>
      </c>
      <c r="AQ22" s="35">
        <f t="shared" si="1"/>
        <v>0</v>
      </c>
      <c r="AR22" s="35">
        <f t="shared" si="1"/>
        <v>0</v>
      </c>
      <c r="AS22" s="35">
        <f t="shared" si="1"/>
        <v>0</v>
      </c>
      <c r="AT22" s="35">
        <f t="shared" si="1"/>
        <v>0</v>
      </c>
    </row>
    <row r="23" spans="1:46" x14ac:dyDescent="0.25">
      <c r="A23" t="s">
        <v>216</v>
      </c>
      <c r="B23" s="9" t="s">
        <v>145</v>
      </c>
      <c r="C23" s="12">
        <v>49</v>
      </c>
      <c r="D23" s="12">
        <v>18</v>
      </c>
      <c r="E23" s="12">
        <v>10</v>
      </c>
      <c r="F23" s="12">
        <v>339</v>
      </c>
      <c r="G23" s="12">
        <v>60</v>
      </c>
      <c r="H23" s="12">
        <v>29</v>
      </c>
      <c r="I23" s="12">
        <v>15</v>
      </c>
      <c r="J23" s="12">
        <v>31</v>
      </c>
      <c r="K23" s="12">
        <v>172</v>
      </c>
      <c r="L23" s="12">
        <v>20</v>
      </c>
      <c r="M23" s="12">
        <v>116</v>
      </c>
      <c r="N23" s="12">
        <v>23</v>
      </c>
      <c r="O23" s="12">
        <v>17</v>
      </c>
      <c r="P23" s="12">
        <v>9</v>
      </c>
      <c r="Q23" s="12">
        <v>43</v>
      </c>
      <c r="R23" s="12">
        <v>12</v>
      </c>
      <c r="S23" s="12">
        <v>23</v>
      </c>
      <c r="T23" s="12">
        <v>11</v>
      </c>
      <c r="U23" s="12">
        <v>56</v>
      </c>
      <c r="V23" s="12">
        <v>98</v>
      </c>
      <c r="W23" s="12">
        <v>55</v>
      </c>
      <c r="X23" s="12">
        <v>367</v>
      </c>
      <c r="Y23" s="12">
        <v>145</v>
      </c>
      <c r="Z23" s="12">
        <v>37</v>
      </c>
      <c r="AA23" s="12">
        <v>50</v>
      </c>
      <c r="AB23" s="12">
        <v>18</v>
      </c>
      <c r="AC23" s="12">
        <v>107</v>
      </c>
      <c r="AD23" s="12">
        <v>8</v>
      </c>
      <c r="AE23" s="12">
        <v>31</v>
      </c>
      <c r="AF23" s="12">
        <v>9</v>
      </c>
      <c r="AN23" s="35">
        <v>14</v>
      </c>
      <c r="AO23" s="35">
        <v>179</v>
      </c>
      <c r="AP23" s="38">
        <v>21</v>
      </c>
    </row>
    <row r="24" spans="1:46" x14ac:dyDescent="0.25">
      <c r="A24" t="s">
        <v>219</v>
      </c>
      <c r="B24" s="8" t="s">
        <v>12</v>
      </c>
      <c r="C24" s="12">
        <v>10</v>
      </c>
      <c r="D24" s="12">
        <v>0.06</v>
      </c>
      <c r="E24" s="12">
        <v>6</v>
      </c>
      <c r="F24" s="12">
        <v>4</v>
      </c>
      <c r="G24" s="12">
        <v>6</v>
      </c>
      <c r="H24" s="12">
        <v>0.06</v>
      </c>
      <c r="I24" s="12">
        <v>0.06</v>
      </c>
      <c r="J24" s="12">
        <v>0.06</v>
      </c>
      <c r="K24" s="12">
        <v>6</v>
      </c>
      <c r="L24" s="12">
        <v>6</v>
      </c>
      <c r="M24" s="12">
        <v>6</v>
      </c>
      <c r="N24" s="12">
        <v>6</v>
      </c>
      <c r="O24" s="12">
        <v>0.06</v>
      </c>
      <c r="P24" s="12">
        <v>9</v>
      </c>
      <c r="Q24" s="12">
        <v>0.06</v>
      </c>
      <c r="R24" s="12">
        <v>0.06</v>
      </c>
      <c r="S24" s="12">
        <v>6</v>
      </c>
      <c r="T24" s="12">
        <v>6</v>
      </c>
      <c r="U24" s="12">
        <v>6</v>
      </c>
      <c r="V24" s="12">
        <v>6</v>
      </c>
      <c r="W24" s="12">
        <v>6</v>
      </c>
      <c r="X24" s="12">
        <v>4</v>
      </c>
      <c r="Y24" s="12">
        <v>6</v>
      </c>
      <c r="Z24" s="12">
        <v>0.06</v>
      </c>
      <c r="AA24" s="12">
        <v>6</v>
      </c>
      <c r="AB24" s="12">
        <v>6</v>
      </c>
      <c r="AC24" s="12">
        <v>6</v>
      </c>
      <c r="AD24" s="12">
        <v>6</v>
      </c>
      <c r="AE24" s="12">
        <v>6</v>
      </c>
      <c r="AF24" s="12">
        <v>6</v>
      </c>
      <c r="AG24" s="35">
        <v>6</v>
      </c>
      <c r="AH24" s="35">
        <v>6</v>
      </c>
      <c r="AI24" s="35">
        <v>6</v>
      </c>
      <c r="AJ24" s="35">
        <v>6</v>
      </c>
      <c r="AK24" s="35">
        <v>6</v>
      </c>
      <c r="AL24" s="35">
        <v>4</v>
      </c>
      <c r="AM24" s="35">
        <v>6</v>
      </c>
      <c r="AN24" s="35">
        <v>6</v>
      </c>
      <c r="AO24" s="35">
        <v>6</v>
      </c>
      <c r="AP24" s="38">
        <v>6</v>
      </c>
    </row>
    <row r="25" spans="1:46" x14ac:dyDescent="0.25">
      <c r="A25" t="s">
        <v>221</v>
      </c>
      <c r="B25" s="9" t="s">
        <v>97</v>
      </c>
      <c r="C25" s="12">
        <f>IF(C24=6,1,0)</f>
        <v>0</v>
      </c>
      <c r="D25" s="12">
        <f t="shared" ref="D25:AT25" si="2">IF(D24=6,1,0)</f>
        <v>0</v>
      </c>
      <c r="E25" s="12">
        <f t="shared" si="2"/>
        <v>1</v>
      </c>
      <c r="F25" s="12">
        <f t="shared" si="2"/>
        <v>0</v>
      </c>
      <c r="G25" s="12">
        <f t="shared" si="2"/>
        <v>1</v>
      </c>
      <c r="H25" s="12">
        <v>1</v>
      </c>
      <c r="I25" s="12">
        <v>1</v>
      </c>
      <c r="J25" s="12">
        <v>1</v>
      </c>
      <c r="K25" s="12">
        <f t="shared" si="2"/>
        <v>1</v>
      </c>
      <c r="L25" s="12">
        <f t="shared" si="2"/>
        <v>1</v>
      </c>
      <c r="M25" s="12">
        <f t="shared" si="2"/>
        <v>1</v>
      </c>
      <c r="N25" s="12">
        <f t="shared" si="2"/>
        <v>1</v>
      </c>
      <c r="O25" s="12">
        <v>1</v>
      </c>
      <c r="P25" s="12">
        <f t="shared" si="2"/>
        <v>0</v>
      </c>
      <c r="Q25" s="12">
        <v>1</v>
      </c>
      <c r="R25" s="12">
        <v>1</v>
      </c>
      <c r="S25" s="12">
        <f t="shared" si="2"/>
        <v>1</v>
      </c>
      <c r="T25" s="12">
        <f t="shared" si="2"/>
        <v>1</v>
      </c>
      <c r="U25" s="12">
        <f t="shared" si="2"/>
        <v>1</v>
      </c>
      <c r="V25" s="12">
        <f t="shared" si="2"/>
        <v>1</v>
      </c>
      <c r="W25" s="12">
        <f t="shared" si="2"/>
        <v>1</v>
      </c>
      <c r="X25" s="12">
        <f t="shared" si="2"/>
        <v>0</v>
      </c>
      <c r="Y25" s="12">
        <f t="shared" si="2"/>
        <v>1</v>
      </c>
      <c r="Z25" s="12">
        <v>1</v>
      </c>
      <c r="AA25" s="12">
        <f t="shared" si="2"/>
        <v>1</v>
      </c>
      <c r="AB25" s="12">
        <f t="shared" si="2"/>
        <v>1</v>
      </c>
      <c r="AC25" s="12">
        <f t="shared" si="2"/>
        <v>1</v>
      </c>
      <c r="AD25" s="12">
        <f t="shared" si="2"/>
        <v>1</v>
      </c>
      <c r="AE25" s="12">
        <f t="shared" si="2"/>
        <v>1</v>
      </c>
      <c r="AF25" s="12">
        <f t="shared" si="2"/>
        <v>1</v>
      </c>
      <c r="AG25" s="35">
        <f t="shared" si="2"/>
        <v>1</v>
      </c>
      <c r="AH25" s="35">
        <f t="shared" si="2"/>
        <v>1</v>
      </c>
      <c r="AI25" s="35">
        <f t="shared" si="2"/>
        <v>1</v>
      </c>
      <c r="AJ25" s="35">
        <f t="shared" si="2"/>
        <v>1</v>
      </c>
      <c r="AK25" s="35">
        <f t="shared" si="2"/>
        <v>1</v>
      </c>
      <c r="AL25" s="35">
        <f t="shared" si="2"/>
        <v>0</v>
      </c>
      <c r="AM25" s="35">
        <f t="shared" si="2"/>
        <v>1</v>
      </c>
      <c r="AN25" s="35">
        <f t="shared" si="2"/>
        <v>1</v>
      </c>
      <c r="AO25" s="35">
        <f t="shared" si="2"/>
        <v>1</v>
      </c>
      <c r="AP25" s="35">
        <f t="shared" si="2"/>
        <v>1</v>
      </c>
      <c r="AQ25" s="35">
        <f t="shared" si="2"/>
        <v>0</v>
      </c>
      <c r="AR25" s="35">
        <f t="shared" si="2"/>
        <v>0</v>
      </c>
      <c r="AS25" s="35">
        <f t="shared" si="2"/>
        <v>0</v>
      </c>
      <c r="AT25" s="35">
        <f t="shared" si="2"/>
        <v>0</v>
      </c>
    </row>
    <row r="26" spans="1:46" x14ac:dyDescent="0.25">
      <c r="A26" t="s">
        <v>222</v>
      </c>
      <c r="B26" s="9" t="s">
        <v>146</v>
      </c>
      <c r="C26" s="12">
        <v>21</v>
      </c>
      <c r="D26" s="12">
        <v>7</v>
      </c>
      <c r="E26" s="12">
        <v>3</v>
      </c>
      <c r="F26" s="12">
        <v>17</v>
      </c>
      <c r="G26" s="12">
        <v>6</v>
      </c>
      <c r="H26" s="12">
        <v>14</v>
      </c>
      <c r="I26" s="12">
        <v>14</v>
      </c>
      <c r="J26" s="12">
        <v>20</v>
      </c>
      <c r="K26" s="12">
        <v>6</v>
      </c>
      <c r="L26" s="12">
        <v>5</v>
      </c>
      <c r="M26" s="12">
        <v>24</v>
      </c>
      <c r="N26" s="12">
        <v>5</v>
      </c>
      <c r="O26" s="12">
        <v>131</v>
      </c>
      <c r="P26" s="12">
        <v>5</v>
      </c>
      <c r="Q26" s="12">
        <v>14</v>
      </c>
      <c r="R26" s="12">
        <v>8</v>
      </c>
      <c r="S26" s="12">
        <v>12</v>
      </c>
      <c r="T26" s="12">
        <v>9</v>
      </c>
      <c r="U26" s="12">
        <v>7</v>
      </c>
      <c r="V26" s="12">
        <v>8</v>
      </c>
      <c r="W26" s="12">
        <v>7</v>
      </c>
      <c r="X26" s="12">
        <v>49</v>
      </c>
      <c r="Y26" s="12">
        <v>14</v>
      </c>
      <c r="Z26" s="12">
        <v>7</v>
      </c>
      <c r="AA26" s="12">
        <v>15</v>
      </c>
      <c r="AB26" s="12">
        <v>11</v>
      </c>
      <c r="AC26" s="12">
        <v>11</v>
      </c>
      <c r="AD26" s="12">
        <v>3</v>
      </c>
      <c r="AE26" s="12">
        <v>5</v>
      </c>
      <c r="AF26" s="12">
        <v>4</v>
      </c>
      <c r="AN26" s="35">
        <v>5</v>
      </c>
      <c r="AO26" s="35">
        <v>9</v>
      </c>
      <c r="AP26" s="38">
        <v>3</v>
      </c>
    </row>
    <row r="27" spans="1:46" x14ac:dyDescent="0.25">
      <c r="A27" t="s">
        <v>225</v>
      </c>
      <c r="B27" s="8" t="s">
        <v>13</v>
      </c>
      <c r="C27" s="12">
        <v>1000</v>
      </c>
      <c r="D27" s="12">
        <v>2000</v>
      </c>
      <c r="E27" s="12">
        <v>2000</v>
      </c>
      <c r="F27" s="12">
        <v>2000</v>
      </c>
      <c r="G27" s="12">
        <v>2000</v>
      </c>
      <c r="H27" s="12">
        <v>2000</v>
      </c>
      <c r="I27" s="12">
        <v>2000</v>
      </c>
      <c r="J27" s="12">
        <v>2000</v>
      </c>
      <c r="K27" s="12">
        <v>2000</v>
      </c>
      <c r="L27" s="12">
        <v>2000</v>
      </c>
      <c r="M27" s="12">
        <v>2000</v>
      </c>
      <c r="N27" s="12">
        <v>1980.23</v>
      </c>
      <c r="O27" s="12">
        <v>2000</v>
      </c>
      <c r="P27" s="12">
        <v>10000</v>
      </c>
      <c r="Q27" s="12">
        <v>2000</v>
      </c>
      <c r="R27" s="12">
        <v>2000</v>
      </c>
      <c r="S27" s="12">
        <v>2000</v>
      </c>
      <c r="T27" s="12">
        <v>2000</v>
      </c>
      <c r="U27" s="12">
        <v>2000</v>
      </c>
      <c r="V27" s="12">
        <v>2000</v>
      </c>
      <c r="W27" s="12">
        <v>2000</v>
      </c>
      <c r="X27" s="12">
        <v>2000</v>
      </c>
      <c r="Y27" s="12">
        <v>2000</v>
      </c>
      <c r="Z27" s="12">
        <v>2000</v>
      </c>
      <c r="AA27" s="12">
        <v>2000</v>
      </c>
      <c r="AB27" s="12">
        <v>2000</v>
      </c>
      <c r="AC27" s="12">
        <v>2000</v>
      </c>
      <c r="AD27" s="12">
        <v>1980.23</v>
      </c>
      <c r="AE27" s="12">
        <v>2000</v>
      </c>
      <c r="AF27" s="12">
        <v>2000</v>
      </c>
      <c r="AG27" s="35">
        <v>2524.9499999999998</v>
      </c>
      <c r="AH27" s="35">
        <v>2000</v>
      </c>
      <c r="AI27" s="35">
        <v>1980.23</v>
      </c>
      <c r="AJ27" s="35">
        <v>2000</v>
      </c>
      <c r="AK27" s="35">
        <v>2000</v>
      </c>
      <c r="AL27" s="35">
        <v>2000</v>
      </c>
      <c r="AM27" s="35">
        <v>2000</v>
      </c>
      <c r="AN27" s="35">
        <v>2000</v>
      </c>
      <c r="AO27" s="35">
        <v>2000</v>
      </c>
      <c r="AP27" s="38">
        <v>2000</v>
      </c>
    </row>
    <row r="28" spans="1:46" x14ac:dyDescent="0.25">
      <c r="A28" t="s">
        <v>229</v>
      </c>
      <c r="B28" s="9" t="s">
        <v>98</v>
      </c>
      <c r="C28" s="12">
        <f>IF(C27=2000,1,0)</f>
        <v>0</v>
      </c>
      <c r="D28" s="12">
        <f t="shared" ref="D28:AT28" si="3">IF(D27=2000,1,0)</f>
        <v>1</v>
      </c>
      <c r="E28" s="12">
        <f t="shared" si="3"/>
        <v>1</v>
      </c>
      <c r="F28" s="12">
        <f t="shared" si="3"/>
        <v>1</v>
      </c>
      <c r="G28" s="12">
        <f t="shared" si="3"/>
        <v>1</v>
      </c>
      <c r="H28" s="12">
        <f t="shared" si="3"/>
        <v>1</v>
      </c>
      <c r="I28" s="12">
        <f t="shared" si="3"/>
        <v>1</v>
      </c>
      <c r="J28" s="12">
        <f t="shared" si="3"/>
        <v>1</v>
      </c>
      <c r="K28" s="12">
        <f t="shared" si="3"/>
        <v>1</v>
      </c>
      <c r="L28" s="12">
        <f t="shared" si="3"/>
        <v>1</v>
      </c>
      <c r="M28" s="12">
        <f t="shared" si="3"/>
        <v>1</v>
      </c>
      <c r="N28" s="12">
        <f t="shared" si="3"/>
        <v>0</v>
      </c>
      <c r="O28" s="12">
        <f t="shared" si="3"/>
        <v>1</v>
      </c>
      <c r="P28" s="12">
        <f t="shared" si="3"/>
        <v>0</v>
      </c>
      <c r="Q28" s="12">
        <f t="shared" si="3"/>
        <v>1</v>
      </c>
      <c r="R28" s="12">
        <f t="shared" si="3"/>
        <v>1</v>
      </c>
      <c r="S28" s="12">
        <f t="shared" si="3"/>
        <v>1</v>
      </c>
      <c r="T28" s="12">
        <f t="shared" si="3"/>
        <v>1</v>
      </c>
      <c r="U28" s="12">
        <f t="shared" si="3"/>
        <v>1</v>
      </c>
      <c r="V28" s="12">
        <f t="shared" si="3"/>
        <v>1</v>
      </c>
      <c r="W28" s="12">
        <f t="shared" si="3"/>
        <v>1</v>
      </c>
      <c r="X28" s="12">
        <f t="shared" si="3"/>
        <v>1</v>
      </c>
      <c r="Y28" s="12">
        <f t="shared" si="3"/>
        <v>1</v>
      </c>
      <c r="Z28" s="12">
        <f t="shared" si="3"/>
        <v>1</v>
      </c>
      <c r="AA28" s="12">
        <f t="shared" si="3"/>
        <v>1</v>
      </c>
      <c r="AB28" s="12">
        <f t="shared" si="3"/>
        <v>1</v>
      </c>
      <c r="AC28" s="12">
        <f t="shared" si="3"/>
        <v>1</v>
      </c>
      <c r="AD28" s="12">
        <f t="shared" si="3"/>
        <v>0</v>
      </c>
      <c r="AE28" s="12">
        <f t="shared" si="3"/>
        <v>1</v>
      </c>
      <c r="AF28" s="12">
        <f t="shared" si="3"/>
        <v>1</v>
      </c>
      <c r="AG28" s="35">
        <f t="shared" si="3"/>
        <v>0</v>
      </c>
      <c r="AH28" s="35">
        <f t="shared" si="3"/>
        <v>1</v>
      </c>
      <c r="AI28" s="35">
        <f t="shared" si="3"/>
        <v>0</v>
      </c>
      <c r="AJ28" s="35">
        <f t="shared" si="3"/>
        <v>1</v>
      </c>
      <c r="AK28" s="35">
        <f t="shared" si="3"/>
        <v>1</v>
      </c>
      <c r="AL28" s="35">
        <f t="shared" si="3"/>
        <v>1</v>
      </c>
      <c r="AM28" s="35">
        <f t="shared" si="3"/>
        <v>1</v>
      </c>
      <c r="AN28" s="35">
        <f t="shared" si="3"/>
        <v>1</v>
      </c>
      <c r="AO28" s="35">
        <f t="shared" si="3"/>
        <v>1</v>
      </c>
      <c r="AP28" s="35">
        <f t="shared" si="3"/>
        <v>1</v>
      </c>
      <c r="AQ28" s="35">
        <f t="shared" si="3"/>
        <v>0</v>
      </c>
      <c r="AR28" s="35">
        <f t="shared" si="3"/>
        <v>0</v>
      </c>
      <c r="AS28" s="35">
        <f t="shared" si="3"/>
        <v>0</v>
      </c>
      <c r="AT28" s="35">
        <f t="shared" si="3"/>
        <v>0</v>
      </c>
    </row>
    <row r="29" spans="1:46" x14ac:dyDescent="0.25">
      <c r="A29" t="s">
        <v>230</v>
      </c>
      <c r="B29" s="9" t="s">
        <v>147</v>
      </c>
      <c r="C29" s="12">
        <v>51</v>
      </c>
      <c r="D29" s="12">
        <v>10</v>
      </c>
      <c r="E29" s="12">
        <v>10</v>
      </c>
      <c r="F29" s="12">
        <v>37</v>
      </c>
      <c r="G29" s="12">
        <v>9</v>
      </c>
      <c r="H29" s="12">
        <v>16</v>
      </c>
      <c r="I29" s="12">
        <v>29</v>
      </c>
      <c r="J29" s="12">
        <v>12</v>
      </c>
      <c r="K29" s="12">
        <v>11</v>
      </c>
      <c r="L29" s="12">
        <v>19</v>
      </c>
      <c r="M29" s="12">
        <v>9</v>
      </c>
      <c r="N29" s="12">
        <v>43</v>
      </c>
      <c r="O29" s="12">
        <v>35</v>
      </c>
      <c r="P29" s="12">
        <v>8</v>
      </c>
      <c r="Q29" s="12">
        <v>10</v>
      </c>
      <c r="R29" s="12">
        <v>13</v>
      </c>
      <c r="S29" s="12">
        <v>26</v>
      </c>
      <c r="T29" s="12">
        <v>15</v>
      </c>
      <c r="U29" s="12">
        <v>10</v>
      </c>
      <c r="V29" s="12">
        <v>10</v>
      </c>
      <c r="W29" s="12">
        <v>17</v>
      </c>
      <c r="X29" s="12">
        <v>7</v>
      </c>
      <c r="Y29" s="12">
        <v>15</v>
      </c>
      <c r="Z29" s="12">
        <v>41</v>
      </c>
      <c r="AA29" s="12">
        <v>61</v>
      </c>
      <c r="AB29" s="12">
        <v>15</v>
      </c>
      <c r="AC29" s="12">
        <v>7</v>
      </c>
      <c r="AD29" s="12">
        <v>14</v>
      </c>
      <c r="AE29" s="12">
        <v>22</v>
      </c>
      <c r="AF29" s="12">
        <v>5</v>
      </c>
      <c r="AN29" s="35">
        <v>8</v>
      </c>
      <c r="AO29" s="35">
        <v>10</v>
      </c>
      <c r="AP29" s="38">
        <v>5</v>
      </c>
    </row>
    <row r="30" spans="1:46" x14ac:dyDescent="0.25">
      <c r="A30" t="s">
        <v>231</v>
      </c>
      <c r="B30" s="8" t="s">
        <v>14</v>
      </c>
      <c r="C30" s="12">
        <v>2331</v>
      </c>
      <c r="D30" s="12">
        <v>2524.9499999999998</v>
      </c>
      <c r="E30" s="12">
        <v>6700</v>
      </c>
      <c r="F30" s="12">
        <v>2524.9499999999998</v>
      </c>
      <c r="G30" s="12">
        <v>2524.9499999999998</v>
      </c>
      <c r="H30" s="12">
        <v>2524.9499999999998</v>
      </c>
      <c r="I30" s="12">
        <v>2524.9499999999998</v>
      </c>
      <c r="J30" s="12">
        <v>2524.9499999999998</v>
      </c>
      <c r="K30" s="12">
        <v>2524.9499999999998</v>
      </c>
      <c r="L30" s="12">
        <v>2524.9499999999998</v>
      </c>
      <c r="M30" s="12">
        <v>2525</v>
      </c>
      <c r="N30" s="12">
        <v>2524.9499999999998</v>
      </c>
      <c r="O30" s="12">
        <v>2524.9499999999998</v>
      </c>
      <c r="P30" s="12">
        <v>22000</v>
      </c>
      <c r="Q30" s="12">
        <v>2524.9499999999998</v>
      </c>
      <c r="R30" s="12">
        <v>2525</v>
      </c>
      <c r="S30" s="12">
        <v>2480</v>
      </c>
      <c r="T30" s="12">
        <v>2524.9499999999998</v>
      </c>
      <c r="U30" s="12">
        <v>2524.9499999999998</v>
      </c>
      <c r="V30" s="12">
        <v>1802000</v>
      </c>
      <c r="W30" s="12">
        <v>2500</v>
      </c>
      <c r="X30" s="12">
        <v>2500</v>
      </c>
      <c r="Y30" s="12">
        <v>13109.2</v>
      </c>
      <c r="Z30" s="12">
        <v>2524.9499999999998</v>
      </c>
      <c r="AA30" s="12">
        <v>2500</v>
      </c>
      <c r="AB30" s="12">
        <v>2525</v>
      </c>
      <c r="AC30" s="12">
        <v>2520</v>
      </c>
      <c r="AD30" s="12">
        <v>2524.9499999999998</v>
      </c>
      <c r="AE30" s="12">
        <v>2025</v>
      </c>
      <c r="AF30" s="12">
        <v>2524.9499999999998</v>
      </c>
      <c r="AG30" s="35">
        <v>2524.9499999999998</v>
      </c>
      <c r="AH30" s="35">
        <v>2524.9499999999998</v>
      </c>
      <c r="AI30" s="35">
        <v>2524</v>
      </c>
      <c r="AJ30" s="35">
        <v>2524.9499999999998</v>
      </c>
      <c r="AK30" s="35">
        <v>2500</v>
      </c>
      <c r="AL30" s="35">
        <v>2525</v>
      </c>
      <c r="AM30" s="35">
        <v>2500</v>
      </c>
      <c r="AN30" s="35">
        <v>2524.9499999999998</v>
      </c>
      <c r="AO30" s="35">
        <v>2524.9499999999998</v>
      </c>
      <c r="AP30" s="38">
        <v>2524.9499999999998</v>
      </c>
    </row>
    <row r="31" spans="1:46" x14ac:dyDescent="0.25">
      <c r="A31" t="s">
        <v>233</v>
      </c>
      <c r="B31" s="9" t="s">
        <v>99</v>
      </c>
      <c r="C31" s="12">
        <f>IF(C30=2524.95,1,0)</f>
        <v>0</v>
      </c>
      <c r="D31" s="12">
        <f t="shared" ref="D31:AT31" si="4">IF(D30=2524.95,1,0)</f>
        <v>1</v>
      </c>
      <c r="E31" s="12">
        <f t="shared" si="4"/>
        <v>0</v>
      </c>
      <c r="F31" s="12">
        <f t="shared" si="4"/>
        <v>1</v>
      </c>
      <c r="G31" s="12">
        <f t="shared" si="4"/>
        <v>1</v>
      </c>
      <c r="H31" s="12">
        <f t="shared" si="4"/>
        <v>1</v>
      </c>
      <c r="I31" s="12">
        <f t="shared" si="4"/>
        <v>1</v>
      </c>
      <c r="J31" s="12">
        <f t="shared" si="4"/>
        <v>1</v>
      </c>
      <c r="K31" s="12">
        <f t="shared" si="4"/>
        <v>1</v>
      </c>
      <c r="L31" s="12">
        <f t="shared" si="4"/>
        <v>1</v>
      </c>
      <c r="M31" s="12">
        <v>1</v>
      </c>
      <c r="N31" s="12">
        <f t="shared" si="4"/>
        <v>1</v>
      </c>
      <c r="O31" s="12">
        <f t="shared" si="4"/>
        <v>1</v>
      </c>
      <c r="P31" s="12">
        <f t="shared" si="4"/>
        <v>0</v>
      </c>
      <c r="Q31" s="12">
        <f t="shared" si="4"/>
        <v>1</v>
      </c>
      <c r="R31" s="12">
        <v>1</v>
      </c>
      <c r="S31" s="12">
        <f t="shared" si="4"/>
        <v>0</v>
      </c>
      <c r="T31" s="12">
        <f t="shared" si="4"/>
        <v>1</v>
      </c>
      <c r="U31" s="12">
        <f t="shared" si="4"/>
        <v>1</v>
      </c>
      <c r="V31" s="12">
        <f t="shared" si="4"/>
        <v>0</v>
      </c>
      <c r="W31" s="12">
        <f t="shared" si="4"/>
        <v>0</v>
      </c>
      <c r="X31" s="12">
        <f t="shared" si="4"/>
        <v>0</v>
      </c>
      <c r="Y31" s="12">
        <f t="shared" si="4"/>
        <v>0</v>
      </c>
      <c r="Z31" s="12">
        <f t="shared" si="4"/>
        <v>1</v>
      </c>
      <c r="AA31" s="12">
        <f t="shared" si="4"/>
        <v>0</v>
      </c>
      <c r="AB31" s="12">
        <f t="shared" si="4"/>
        <v>0</v>
      </c>
      <c r="AC31" s="12">
        <f t="shared" si="4"/>
        <v>0</v>
      </c>
      <c r="AD31" s="12">
        <f t="shared" si="4"/>
        <v>1</v>
      </c>
      <c r="AE31" s="12">
        <f t="shared" si="4"/>
        <v>0</v>
      </c>
      <c r="AF31" s="12">
        <f t="shared" si="4"/>
        <v>1</v>
      </c>
      <c r="AG31" s="35">
        <f t="shared" si="4"/>
        <v>1</v>
      </c>
      <c r="AH31" s="35">
        <f t="shared" si="4"/>
        <v>1</v>
      </c>
      <c r="AI31" s="35">
        <v>1</v>
      </c>
      <c r="AJ31" s="35">
        <f t="shared" si="4"/>
        <v>1</v>
      </c>
      <c r="AK31" s="35">
        <f t="shared" si="4"/>
        <v>0</v>
      </c>
      <c r="AL31" s="35">
        <v>1</v>
      </c>
      <c r="AM31" s="35">
        <f t="shared" si="4"/>
        <v>0</v>
      </c>
      <c r="AN31" s="35">
        <f t="shared" si="4"/>
        <v>1</v>
      </c>
      <c r="AO31" s="35">
        <f t="shared" si="4"/>
        <v>1</v>
      </c>
      <c r="AP31" s="35">
        <f t="shared" si="4"/>
        <v>1</v>
      </c>
      <c r="AQ31" s="35">
        <f t="shared" si="4"/>
        <v>0</v>
      </c>
      <c r="AR31" s="35">
        <f t="shared" si="4"/>
        <v>0</v>
      </c>
      <c r="AS31" s="35">
        <f t="shared" si="4"/>
        <v>0</v>
      </c>
      <c r="AT31" s="35">
        <f t="shared" si="4"/>
        <v>0</v>
      </c>
    </row>
    <row r="32" spans="1:46" x14ac:dyDescent="0.25">
      <c r="A32" t="s">
        <v>234</v>
      </c>
      <c r="B32" s="9" t="s">
        <v>148</v>
      </c>
      <c r="C32" s="12">
        <v>28</v>
      </c>
      <c r="D32" s="12">
        <v>35</v>
      </c>
      <c r="E32" s="12">
        <v>8</v>
      </c>
      <c r="F32" s="12">
        <v>15</v>
      </c>
      <c r="G32" s="12">
        <v>51</v>
      </c>
      <c r="H32" s="12">
        <v>30</v>
      </c>
      <c r="I32" s="12">
        <v>811</v>
      </c>
      <c r="J32" s="12">
        <v>34</v>
      </c>
      <c r="K32" s="12">
        <v>20</v>
      </c>
      <c r="L32" s="12">
        <v>35</v>
      </c>
      <c r="M32" s="12">
        <v>31</v>
      </c>
      <c r="N32" s="12">
        <v>56</v>
      </c>
      <c r="O32" s="12">
        <v>54</v>
      </c>
      <c r="P32" s="12">
        <v>15</v>
      </c>
      <c r="Q32" s="12">
        <v>25</v>
      </c>
      <c r="R32" s="12">
        <v>22</v>
      </c>
      <c r="S32" s="12">
        <v>418</v>
      </c>
      <c r="T32" s="12">
        <v>33</v>
      </c>
      <c r="U32" s="12">
        <v>25</v>
      </c>
      <c r="V32" s="12">
        <v>30</v>
      </c>
      <c r="W32" s="12">
        <v>4</v>
      </c>
      <c r="X32" s="12">
        <v>9</v>
      </c>
      <c r="Y32" s="12">
        <v>66</v>
      </c>
      <c r="Z32" s="12">
        <v>32</v>
      </c>
      <c r="AA32" s="12">
        <v>10</v>
      </c>
      <c r="AB32" s="12">
        <v>102</v>
      </c>
      <c r="AC32" s="12">
        <v>35</v>
      </c>
      <c r="AD32" s="12">
        <v>26</v>
      </c>
      <c r="AE32" s="12">
        <v>102</v>
      </c>
      <c r="AF32" s="12">
        <v>13</v>
      </c>
      <c r="AN32" s="35">
        <v>31</v>
      </c>
      <c r="AO32" s="35">
        <v>49</v>
      </c>
      <c r="AP32" s="38">
        <v>11</v>
      </c>
    </row>
    <row r="33" spans="1:46" x14ac:dyDescent="0.25">
      <c r="A33" t="s">
        <v>236</v>
      </c>
      <c r="B33" s="8" t="s">
        <v>15</v>
      </c>
      <c r="C33" s="12">
        <v>150</v>
      </c>
      <c r="D33" s="12">
        <v>1980.23</v>
      </c>
      <c r="E33" s="12">
        <v>888</v>
      </c>
      <c r="F33" s="12">
        <v>1900</v>
      </c>
      <c r="G33" s="12">
        <v>1980.23</v>
      </c>
      <c r="H33" s="12">
        <v>1980.23</v>
      </c>
      <c r="I33" s="12">
        <v>1980.23</v>
      </c>
      <c r="J33" s="12">
        <v>1980.2</v>
      </c>
      <c r="K33" s="12">
        <v>1980.23</v>
      </c>
      <c r="L33" s="12">
        <v>1980.23</v>
      </c>
      <c r="M33" s="12">
        <v>1980</v>
      </c>
      <c r="N33" s="12">
        <v>1980.23</v>
      </c>
      <c r="O33" s="12">
        <v>1980.23</v>
      </c>
      <c r="P33" s="12">
        <v>26000</v>
      </c>
      <c r="Q33" s="12">
        <v>1980.23</v>
      </c>
      <c r="R33" s="12">
        <v>1980</v>
      </c>
      <c r="S33" s="12">
        <v>600</v>
      </c>
      <c r="T33" s="12">
        <v>1980.23</v>
      </c>
      <c r="U33" s="12">
        <v>1980.23</v>
      </c>
      <c r="V33" s="12">
        <v>1.04</v>
      </c>
      <c r="W33" s="12">
        <v>1.04</v>
      </c>
      <c r="X33" s="12">
        <v>2000</v>
      </c>
      <c r="Y33" s="12">
        <v>1980.23</v>
      </c>
      <c r="Z33" s="12">
        <v>1980.23</v>
      </c>
      <c r="AA33" s="12">
        <v>1980.23</v>
      </c>
      <c r="AB33" s="12">
        <v>500</v>
      </c>
      <c r="AC33" s="12">
        <v>1981</v>
      </c>
      <c r="AD33" s="12">
        <v>1980.23</v>
      </c>
      <c r="AE33" s="12">
        <v>1980.35</v>
      </c>
      <c r="AF33" s="12">
        <v>1980.23</v>
      </c>
      <c r="AG33" s="35">
        <v>1980.23</v>
      </c>
      <c r="AH33" s="35">
        <v>1980.23</v>
      </c>
      <c r="AI33" s="35">
        <v>1980.23</v>
      </c>
      <c r="AJ33" s="35">
        <v>1980.23</v>
      </c>
      <c r="AK33" s="35">
        <v>1.04</v>
      </c>
      <c r="AL33" s="35">
        <v>1980</v>
      </c>
      <c r="AM33" s="35">
        <v>1980.23</v>
      </c>
      <c r="AN33" s="35">
        <v>1980.23</v>
      </c>
      <c r="AO33" s="35">
        <v>1980.23</v>
      </c>
      <c r="AP33" s="38">
        <v>1980.23</v>
      </c>
    </row>
    <row r="34" spans="1:46" x14ac:dyDescent="0.25">
      <c r="A34" t="s">
        <v>237</v>
      </c>
      <c r="B34" s="9" t="s">
        <v>100</v>
      </c>
      <c r="C34" s="12">
        <f>IF(C33=1980.23,1,0)</f>
        <v>0</v>
      </c>
      <c r="D34" s="12">
        <f t="shared" ref="D34:AT34" si="5">IF(D33=1980.23,1,0)</f>
        <v>1</v>
      </c>
      <c r="E34" s="12">
        <f t="shared" si="5"/>
        <v>0</v>
      </c>
      <c r="F34" s="12">
        <f t="shared" si="5"/>
        <v>0</v>
      </c>
      <c r="G34" s="12">
        <f t="shared" si="5"/>
        <v>1</v>
      </c>
      <c r="H34" s="12">
        <f t="shared" si="5"/>
        <v>1</v>
      </c>
      <c r="I34" s="12">
        <f t="shared" si="5"/>
        <v>1</v>
      </c>
      <c r="J34" s="12">
        <f t="shared" si="5"/>
        <v>0</v>
      </c>
      <c r="K34" s="12">
        <f t="shared" si="5"/>
        <v>1</v>
      </c>
      <c r="L34" s="12">
        <f t="shared" si="5"/>
        <v>1</v>
      </c>
      <c r="M34" s="12">
        <v>1</v>
      </c>
      <c r="N34" s="12">
        <f t="shared" si="5"/>
        <v>1</v>
      </c>
      <c r="O34" s="12">
        <f t="shared" si="5"/>
        <v>1</v>
      </c>
      <c r="P34" s="12">
        <f t="shared" si="5"/>
        <v>0</v>
      </c>
      <c r="Q34" s="12">
        <f t="shared" si="5"/>
        <v>1</v>
      </c>
      <c r="R34" s="12">
        <v>1</v>
      </c>
      <c r="S34" s="12">
        <f t="shared" si="5"/>
        <v>0</v>
      </c>
      <c r="T34" s="12">
        <f t="shared" si="5"/>
        <v>1</v>
      </c>
      <c r="U34" s="12">
        <f t="shared" si="5"/>
        <v>1</v>
      </c>
      <c r="V34" s="12">
        <f t="shared" si="5"/>
        <v>0</v>
      </c>
      <c r="W34" s="12">
        <f t="shared" si="5"/>
        <v>0</v>
      </c>
      <c r="X34" s="12">
        <f t="shared" si="5"/>
        <v>0</v>
      </c>
      <c r="Y34" s="12">
        <f t="shared" si="5"/>
        <v>1</v>
      </c>
      <c r="Z34" s="12">
        <f t="shared" si="5"/>
        <v>1</v>
      </c>
      <c r="AA34" s="12">
        <f t="shared" si="5"/>
        <v>1</v>
      </c>
      <c r="AB34" s="12">
        <f t="shared" si="5"/>
        <v>0</v>
      </c>
      <c r="AC34" s="12">
        <v>1</v>
      </c>
      <c r="AD34" s="12">
        <f t="shared" si="5"/>
        <v>1</v>
      </c>
      <c r="AE34" s="12">
        <f t="shared" si="5"/>
        <v>0</v>
      </c>
      <c r="AF34" s="12">
        <f t="shared" si="5"/>
        <v>1</v>
      </c>
      <c r="AG34" s="35">
        <f t="shared" si="5"/>
        <v>1</v>
      </c>
      <c r="AH34" s="35">
        <f t="shared" si="5"/>
        <v>1</v>
      </c>
      <c r="AI34" s="35">
        <f t="shared" si="5"/>
        <v>1</v>
      </c>
      <c r="AJ34" s="35">
        <f t="shared" si="5"/>
        <v>1</v>
      </c>
      <c r="AK34" s="35">
        <f t="shared" si="5"/>
        <v>0</v>
      </c>
      <c r="AL34" s="35">
        <v>1</v>
      </c>
      <c r="AM34" s="35">
        <f t="shared" si="5"/>
        <v>1</v>
      </c>
      <c r="AN34" s="35">
        <f t="shared" si="5"/>
        <v>1</v>
      </c>
      <c r="AO34" s="35">
        <f t="shared" si="5"/>
        <v>1</v>
      </c>
      <c r="AP34" s="35">
        <f t="shared" si="5"/>
        <v>1</v>
      </c>
      <c r="AQ34" s="35">
        <f t="shared" si="5"/>
        <v>0</v>
      </c>
      <c r="AR34" s="35">
        <f t="shared" si="5"/>
        <v>0</v>
      </c>
      <c r="AS34" s="35">
        <f t="shared" si="5"/>
        <v>0</v>
      </c>
      <c r="AT34" s="35">
        <f t="shared" si="5"/>
        <v>0</v>
      </c>
    </row>
    <row r="35" spans="1:46" x14ac:dyDescent="0.25">
      <c r="A35" t="s">
        <v>238</v>
      </c>
      <c r="B35" s="9" t="s">
        <v>149</v>
      </c>
      <c r="C35" s="12">
        <v>40</v>
      </c>
      <c r="D35" s="12">
        <v>41</v>
      </c>
      <c r="E35" s="12">
        <v>4</v>
      </c>
      <c r="F35" s="12">
        <v>456</v>
      </c>
      <c r="G35" s="12">
        <v>41</v>
      </c>
      <c r="H35" s="12">
        <v>61</v>
      </c>
      <c r="I35" s="12">
        <v>205</v>
      </c>
      <c r="J35" s="12">
        <v>44</v>
      </c>
      <c r="K35" s="12">
        <v>16</v>
      </c>
      <c r="L35" s="12">
        <v>21</v>
      </c>
      <c r="M35" s="12">
        <v>18</v>
      </c>
      <c r="N35" s="12">
        <v>21</v>
      </c>
      <c r="O35" s="12">
        <v>68</v>
      </c>
      <c r="P35" s="12">
        <v>17</v>
      </c>
      <c r="Q35" s="12">
        <v>27</v>
      </c>
      <c r="R35" s="12">
        <v>30</v>
      </c>
      <c r="S35" s="12">
        <v>124</v>
      </c>
      <c r="T35" s="12">
        <v>20</v>
      </c>
      <c r="U35" s="12">
        <v>27</v>
      </c>
      <c r="V35" s="12">
        <v>82</v>
      </c>
      <c r="W35" s="12">
        <v>124</v>
      </c>
      <c r="X35" s="12">
        <v>14</v>
      </c>
      <c r="Y35" s="12">
        <v>81</v>
      </c>
      <c r="Z35" s="12">
        <v>21</v>
      </c>
      <c r="AA35" s="12">
        <v>204</v>
      </c>
      <c r="AB35" s="12">
        <v>30</v>
      </c>
      <c r="AC35" s="12">
        <v>9</v>
      </c>
      <c r="AD35" s="12">
        <v>19</v>
      </c>
      <c r="AE35" s="12">
        <v>136</v>
      </c>
      <c r="AF35" s="12">
        <v>9</v>
      </c>
      <c r="AN35" s="35">
        <v>12</v>
      </c>
      <c r="AO35" s="35">
        <v>38</v>
      </c>
      <c r="AP35" s="38">
        <v>24</v>
      </c>
    </row>
    <row r="36" spans="1:46" x14ac:dyDescent="0.25">
      <c r="A36" t="s">
        <v>241</v>
      </c>
      <c r="B36" s="8" t="s">
        <v>16</v>
      </c>
      <c r="C36" s="12">
        <v>1</v>
      </c>
      <c r="D36" s="12">
        <v>0</v>
      </c>
      <c r="E36" s="12">
        <v>1</v>
      </c>
      <c r="F36" s="12">
        <v>0</v>
      </c>
      <c r="G36" s="12">
        <v>1</v>
      </c>
      <c r="H36" s="12">
        <v>0</v>
      </c>
      <c r="I36" s="12">
        <v>0</v>
      </c>
      <c r="J36" s="12">
        <v>0</v>
      </c>
      <c r="K36" s="12">
        <v>1</v>
      </c>
      <c r="L36" s="12">
        <v>1</v>
      </c>
      <c r="M36" s="12">
        <v>0</v>
      </c>
      <c r="N36" s="12">
        <v>1</v>
      </c>
      <c r="O36" s="12">
        <v>1</v>
      </c>
      <c r="P36" s="12">
        <v>1</v>
      </c>
      <c r="Q36" s="12">
        <v>0</v>
      </c>
      <c r="R36" s="12">
        <v>0</v>
      </c>
      <c r="S36" s="12">
        <v>1</v>
      </c>
      <c r="T36" s="12">
        <v>1</v>
      </c>
      <c r="U36" s="12">
        <v>1</v>
      </c>
      <c r="V36" s="12">
        <v>0</v>
      </c>
      <c r="W36" s="12">
        <v>1</v>
      </c>
      <c r="X36" s="12">
        <v>1</v>
      </c>
      <c r="Y36" s="12">
        <v>1</v>
      </c>
      <c r="Z36" s="12">
        <v>0</v>
      </c>
      <c r="AA36" s="12">
        <v>0</v>
      </c>
      <c r="AB36" s="12">
        <v>0</v>
      </c>
      <c r="AC36" s="12">
        <v>1</v>
      </c>
      <c r="AD36" s="12">
        <v>1</v>
      </c>
      <c r="AE36" s="12">
        <v>1</v>
      </c>
      <c r="AF36" s="12">
        <v>1</v>
      </c>
      <c r="AG36" s="35">
        <v>0</v>
      </c>
      <c r="AH36" s="35">
        <v>1</v>
      </c>
      <c r="AI36" s="35">
        <v>0</v>
      </c>
      <c r="AJ36" s="35">
        <v>1</v>
      </c>
      <c r="AK36" s="35">
        <v>1</v>
      </c>
      <c r="AL36" s="35">
        <v>0</v>
      </c>
      <c r="AM36" s="35">
        <v>1</v>
      </c>
      <c r="AN36" s="35">
        <v>1</v>
      </c>
      <c r="AO36" s="35">
        <v>1</v>
      </c>
      <c r="AP36" s="38">
        <v>1</v>
      </c>
    </row>
    <row r="37" spans="1:46" x14ac:dyDescent="0.25">
      <c r="A37" t="s">
        <v>246</v>
      </c>
      <c r="B37" s="9" t="s">
        <v>101</v>
      </c>
      <c r="C37" s="12">
        <f>IF(C36=1,1,0)</f>
        <v>1</v>
      </c>
      <c r="D37" s="12">
        <f t="shared" ref="D37:AT37" si="6">IF(D36=1,1,0)</f>
        <v>0</v>
      </c>
      <c r="E37" s="12">
        <f t="shared" si="6"/>
        <v>1</v>
      </c>
      <c r="F37" s="12">
        <f t="shared" si="6"/>
        <v>0</v>
      </c>
      <c r="G37" s="12">
        <f t="shared" si="6"/>
        <v>1</v>
      </c>
      <c r="H37" s="12">
        <f t="shared" si="6"/>
        <v>0</v>
      </c>
      <c r="I37" s="12">
        <f t="shared" si="6"/>
        <v>0</v>
      </c>
      <c r="J37" s="12">
        <f t="shared" si="6"/>
        <v>0</v>
      </c>
      <c r="K37" s="12">
        <f t="shared" si="6"/>
        <v>1</v>
      </c>
      <c r="L37" s="12">
        <f t="shared" si="6"/>
        <v>1</v>
      </c>
      <c r="M37" s="12">
        <f t="shared" si="6"/>
        <v>0</v>
      </c>
      <c r="N37" s="12">
        <f t="shared" si="6"/>
        <v>1</v>
      </c>
      <c r="O37" s="12">
        <f t="shared" si="6"/>
        <v>1</v>
      </c>
      <c r="P37" s="12">
        <f t="shared" si="6"/>
        <v>1</v>
      </c>
      <c r="Q37" s="12">
        <f t="shared" si="6"/>
        <v>0</v>
      </c>
      <c r="R37" s="12">
        <f t="shared" si="6"/>
        <v>0</v>
      </c>
      <c r="S37" s="12">
        <f t="shared" si="6"/>
        <v>1</v>
      </c>
      <c r="T37" s="12">
        <f t="shared" si="6"/>
        <v>1</v>
      </c>
      <c r="U37" s="12">
        <f t="shared" si="6"/>
        <v>1</v>
      </c>
      <c r="V37" s="12">
        <f t="shared" si="6"/>
        <v>0</v>
      </c>
      <c r="W37" s="12">
        <f t="shared" si="6"/>
        <v>1</v>
      </c>
      <c r="X37" s="12">
        <f t="shared" si="6"/>
        <v>1</v>
      </c>
      <c r="Y37" s="12">
        <f t="shared" si="6"/>
        <v>1</v>
      </c>
      <c r="Z37" s="12">
        <f t="shared" si="6"/>
        <v>0</v>
      </c>
      <c r="AA37" s="12">
        <f t="shared" si="6"/>
        <v>0</v>
      </c>
      <c r="AB37" s="12">
        <f t="shared" si="6"/>
        <v>0</v>
      </c>
      <c r="AC37" s="12">
        <f t="shared" si="6"/>
        <v>1</v>
      </c>
      <c r="AD37" s="12">
        <f t="shared" si="6"/>
        <v>1</v>
      </c>
      <c r="AE37" s="12">
        <f t="shared" si="6"/>
        <v>1</v>
      </c>
      <c r="AF37" s="12">
        <f t="shared" si="6"/>
        <v>1</v>
      </c>
      <c r="AG37" s="35">
        <f t="shared" si="6"/>
        <v>0</v>
      </c>
      <c r="AH37" s="35">
        <f t="shared" si="6"/>
        <v>1</v>
      </c>
      <c r="AI37" s="35">
        <f t="shared" si="6"/>
        <v>0</v>
      </c>
      <c r="AJ37" s="35">
        <f t="shared" si="6"/>
        <v>1</v>
      </c>
      <c r="AK37" s="35">
        <f t="shared" si="6"/>
        <v>1</v>
      </c>
      <c r="AL37" s="35">
        <f t="shared" si="6"/>
        <v>0</v>
      </c>
      <c r="AM37" s="35">
        <f t="shared" si="6"/>
        <v>1</v>
      </c>
      <c r="AN37" s="35">
        <f t="shared" si="6"/>
        <v>1</v>
      </c>
      <c r="AO37" s="35">
        <f t="shared" si="6"/>
        <v>1</v>
      </c>
      <c r="AP37" s="35">
        <f t="shared" si="6"/>
        <v>1</v>
      </c>
      <c r="AQ37" s="35">
        <f t="shared" si="6"/>
        <v>0</v>
      </c>
      <c r="AR37" s="35">
        <f t="shared" si="6"/>
        <v>0</v>
      </c>
      <c r="AS37" s="35">
        <f t="shared" si="6"/>
        <v>0</v>
      </c>
      <c r="AT37" s="35">
        <f t="shared" si="6"/>
        <v>0</v>
      </c>
    </row>
    <row r="38" spans="1:46" x14ac:dyDescent="0.25">
      <c r="A38" t="s">
        <v>248</v>
      </c>
      <c r="B38" s="9" t="s">
        <v>150</v>
      </c>
      <c r="C38" s="12">
        <v>10</v>
      </c>
      <c r="D38" s="12">
        <v>4</v>
      </c>
      <c r="E38" s="12">
        <v>5</v>
      </c>
      <c r="F38" s="12">
        <v>13</v>
      </c>
      <c r="G38" s="12">
        <v>3</v>
      </c>
      <c r="H38" s="12">
        <v>24</v>
      </c>
      <c r="I38" s="12">
        <v>9</v>
      </c>
      <c r="J38" s="12">
        <v>10</v>
      </c>
      <c r="K38" s="12">
        <v>12</v>
      </c>
      <c r="L38" s="12">
        <v>44</v>
      </c>
      <c r="M38" s="12">
        <v>42</v>
      </c>
      <c r="N38" s="12">
        <v>22</v>
      </c>
      <c r="O38" s="12">
        <v>9</v>
      </c>
      <c r="P38" s="12">
        <v>5</v>
      </c>
      <c r="Q38" s="12">
        <v>6</v>
      </c>
      <c r="R38" s="12">
        <v>4</v>
      </c>
      <c r="S38" s="12">
        <v>15</v>
      </c>
      <c r="T38" s="12">
        <v>7</v>
      </c>
      <c r="U38" s="12">
        <v>20</v>
      </c>
      <c r="V38" s="12">
        <v>7</v>
      </c>
      <c r="W38" s="12">
        <v>7</v>
      </c>
      <c r="X38" s="12">
        <v>8</v>
      </c>
      <c r="Y38" s="12">
        <v>69</v>
      </c>
      <c r="Z38" s="12">
        <v>62</v>
      </c>
      <c r="AA38" s="12">
        <v>24</v>
      </c>
      <c r="AB38" s="12">
        <v>7</v>
      </c>
      <c r="AC38" s="12">
        <v>10</v>
      </c>
      <c r="AD38" s="12">
        <v>10</v>
      </c>
      <c r="AE38" s="12">
        <v>9</v>
      </c>
      <c r="AF38" s="12">
        <v>4</v>
      </c>
      <c r="AN38" s="35">
        <v>9</v>
      </c>
      <c r="AO38" s="35">
        <v>34</v>
      </c>
      <c r="AP38" s="38">
        <v>12</v>
      </c>
    </row>
    <row r="39" spans="1:46" x14ac:dyDescent="0.25">
      <c r="A39" t="s">
        <v>250</v>
      </c>
      <c r="B39" s="8" t="s">
        <v>17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2</v>
      </c>
      <c r="AD39" s="12">
        <v>0</v>
      </c>
      <c r="AE39" s="12">
        <v>0</v>
      </c>
      <c r="AF39" s="12">
        <v>0</v>
      </c>
      <c r="AG39" s="35">
        <v>0</v>
      </c>
      <c r="AH39" s="35">
        <v>0</v>
      </c>
      <c r="AI39" s="35">
        <v>0</v>
      </c>
      <c r="AJ39" s="35">
        <v>0</v>
      </c>
      <c r="AK39" s="35">
        <v>0</v>
      </c>
      <c r="AL39" s="35">
        <v>0</v>
      </c>
      <c r="AM39" s="35">
        <v>0</v>
      </c>
      <c r="AN39" s="35">
        <v>0</v>
      </c>
      <c r="AO39" s="35">
        <v>0</v>
      </c>
      <c r="AP39" s="38">
        <v>0</v>
      </c>
    </row>
    <row r="40" spans="1:46" x14ac:dyDescent="0.25">
      <c r="A40" t="s">
        <v>252</v>
      </c>
      <c r="B40" s="9" t="s">
        <v>102</v>
      </c>
      <c r="C40" s="12">
        <f>IF(C39=0,1,0)</f>
        <v>1</v>
      </c>
      <c r="D40" s="12">
        <f t="shared" ref="D40:AT40" si="7">IF(D39=0,1,0)</f>
        <v>1</v>
      </c>
      <c r="E40" s="12">
        <f t="shared" si="7"/>
        <v>1</v>
      </c>
      <c r="F40" s="12">
        <f t="shared" si="7"/>
        <v>1</v>
      </c>
      <c r="G40" s="12">
        <f t="shared" si="7"/>
        <v>1</v>
      </c>
      <c r="H40" s="12">
        <f t="shared" si="7"/>
        <v>1</v>
      </c>
      <c r="I40" s="12">
        <f t="shared" si="7"/>
        <v>1</v>
      </c>
      <c r="J40" s="12">
        <f t="shared" si="7"/>
        <v>1</v>
      </c>
      <c r="K40" s="12">
        <f t="shared" si="7"/>
        <v>1</v>
      </c>
      <c r="L40" s="12">
        <f t="shared" si="7"/>
        <v>1</v>
      </c>
      <c r="M40" s="12">
        <f t="shared" si="7"/>
        <v>1</v>
      </c>
      <c r="N40" s="12">
        <f t="shared" si="7"/>
        <v>1</v>
      </c>
      <c r="O40" s="12">
        <f t="shared" si="7"/>
        <v>1</v>
      </c>
      <c r="P40" s="12">
        <f t="shared" si="7"/>
        <v>1</v>
      </c>
      <c r="Q40" s="12">
        <f t="shared" si="7"/>
        <v>1</v>
      </c>
      <c r="R40" s="12">
        <f t="shared" si="7"/>
        <v>1</v>
      </c>
      <c r="S40" s="12">
        <f t="shared" si="7"/>
        <v>1</v>
      </c>
      <c r="T40" s="12">
        <f t="shared" si="7"/>
        <v>1</v>
      </c>
      <c r="U40" s="12">
        <f t="shared" si="7"/>
        <v>1</v>
      </c>
      <c r="V40" s="12">
        <f t="shared" si="7"/>
        <v>1</v>
      </c>
      <c r="W40" s="12">
        <f t="shared" si="7"/>
        <v>1</v>
      </c>
      <c r="X40" s="12">
        <f t="shared" si="7"/>
        <v>1</v>
      </c>
      <c r="Y40" s="12">
        <f t="shared" si="7"/>
        <v>1</v>
      </c>
      <c r="Z40" s="12">
        <f t="shared" si="7"/>
        <v>1</v>
      </c>
      <c r="AA40" s="12">
        <f t="shared" si="7"/>
        <v>1</v>
      </c>
      <c r="AB40" s="12">
        <f t="shared" si="7"/>
        <v>1</v>
      </c>
      <c r="AC40" s="12">
        <f t="shared" si="7"/>
        <v>0</v>
      </c>
      <c r="AD40" s="12">
        <f t="shared" si="7"/>
        <v>1</v>
      </c>
      <c r="AE40" s="12">
        <f t="shared" si="7"/>
        <v>1</v>
      </c>
      <c r="AF40" s="12">
        <f t="shared" si="7"/>
        <v>1</v>
      </c>
      <c r="AG40" s="35">
        <f t="shared" si="7"/>
        <v>1</v>
      </c>
      <c r="AH40" s="35">
        <f t="shared" si="7"/>
        <v>1</v>
      </c>
      <c r="AI40" s="35">
        <f t="shared" si="7"/>
        <v>1</v>
      </c>
      <c r="AJ40" s="35">
        <f t="shared" si="7"/>
        <v>1</v>
      </c>
      <c r="AK40" s="35">
        <f t="shared" si="7"/>
        <v>1</v>
      </c>
      <c r="AL40" s="35">
        <f t="shared" si="7"/>
        <v>1</v>
      </c>
      <c r="AM40" s="35">
        <f t="shared" si="7"/>
        <v>1</v>
      </c>
      <c r="AN40" s="35">
        <f t="shared" si="7"/>
        <v>1</v>
      </c>
      <c r="AO40" s="35">
        <f t="shared" si="7"/>
        <v>1</v>
      </c>
      <c r="AP40" s="35">
        <f t="shared" si="7"/>
        <v>1</v>
      </c>
      <c r="AQ40" s="35">
        <f t="shared" si="7"/>
        <v>1</v>
      </c>
      <c r="AR40" s="35">
        <f t="shared" si="7"/>
        <v>1</v>
      </c>
      <c r="AS40" s="35">
        <f t="shared" si="7"/>
        <v>1</v>
      </c>
      <c r="AT40" s="35">
        <f t="shared" si="7"/>
        <v>1</v>
      </c>
    </row>
    <row r="41" spans="1:46" x14ac:dyDescent="0.25">
      <c r="A41" t="s">
        <v>253</v>
      </c>
      <c r="B41" s="9" t="s">
        <v>153</v>
      </c>
      <c r="C41" s="12">
        <v>164</v>
      </c>
      <c r="D41" s="12">
        <v>8</v>
      </c>
      <c r="E41" s="12">
        <v>6</v>
      </c>
      <c r="F41" s="12">
        <v>13</v>
      </c>
      <c r="G41" s="12">
        <v>26</v>
      </c>
      <c r="H41" s="12">
        <v>27</v>
      </c>
      <c r="I41" s="12">
        <v>18</v>
      </c>
      <c r="J41" s="12">
        <v>20</v>
      </c>
      <c r="K41" s="12">
        <v>10</v>
      </c>
      <c r="L41" s="12">
        <v>23</v>
      </c>
      <c r="M41" s="12">
        <v>16</v>
      </c>
      <c r="N41" s="12">
        <v>14</v>
      </c>
      <c r="O41" s="12">
        <v>5</v>
      </c>
      <c r="P41" s="12">
        <v>14</v>
      </c>
      <c r="Q41" s="12">
        <v>25</v>
      </c>
      <c r="R41" s="12">
        <v>8</v>
      </c>
      <c r="S41" s="12">
        <v>28</v>
      </c>
      <c r="T41" s="12">
        <v>15</v>
      </c>
      <c r="U41" s="12">
        <v>13</v>
      </c>
      <c r="V41" s="12">
        <v>16</v>
      </c>
      <c r="W41" s="12">
        <v>13</v>
      </c>
      <c r="X41" s="12">
        <v>13</v>
      </c>
      <c r="Y41" s="12">
        <v>12</v>
      </c>
      <c r="Z41" s="12">
        <v>10</v>
      </c>
      <c r="AA41" s="12">
        <v>16</v>
      </c>
      <c r="AB41" s="12">
        <v>14</v>
      </c>
      <c r="AC41" s="12">
        <v>13</v>
      </c>
      <c r="AD41" s="12">
        <v>12</v>
      </c>
      <c r="AE41" s="12">
        <v>23</v>
      </c>
      <c r="AF41" s="12">
        <v>9</v>
      </c>
      <c r="AN41" s="35">
        <v>15</v>
      </c>
      <c r="AO41" s="35">
        <v>108</v>
      </c>
      <c r="AP41" s="38">
        <v>13</v>
      </c>
    </row>
    <row r="42" spans="1:46" x14ac:dyDescent="0.25">
      <c r="A42" t="s">
        <v>254</v>
      </c>
      <c r="B42" s="8" t="s">
        <v>110</v>
      </c>
      <c r="C42" s="12">
        <v>0</v>
      </c>
      <c r="D42" s="12">
        <v>1</v>
      </c>
      <c r="E42" s="12">
        <v>1</v>
      </c>
      <c r="F42" s="12">
        <v>3</v>
      </c>
      <c r="G42" s="12">
        <v>0</v>
      </c>
      <c r="H42" s="12">
        <v>3</v>
      </c>
      <c r="I42" s="12">
        <v>0</v>
      </c>
      <c r="J42" s="12">
        <v>3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3</v>
      </c>
      <c r="R42" s="12">
        <v>1</v>
      </c>
      <c r="S42" s="12">
        <v>0</v>
      </c>
      <c r="T42" s="12">
        <v>0</v>
      </c>
      <c r="U42" s="12">
        <v>3</v>
      </c>
      <c r="V42" s="12">
        <v>3</v>
      </c>
      <c r="W42" s="12">
        <v>0</v>
      </c>
      <c r="X42" s="12">
        <v>0</v>
      </c>
      <c r="Y42" s="12">
        <v>0</v>
      </c>
      <c r="Z42" s="12">
        <v>3</v>
      </c>
      <c r="AA42" s="12">
        <v>1</v>
      </c>
      <c r="AB42" s="12">
        <v>0</v>
      </c>
      <c r="AC42" s="12">
        <v>3</v>
      </c>
      <c r="AD42" s="12">
        <v>0</v>
      </c>
      <c r="AE42" s="12">
        <v>0</v>
      </c>
      <c r="AF42" s="12">
        <v>1</v>
      </c>
      <c r="AG42" s="35">
        <v>0</v>
      </c>
      <c r="AH42" s="35">
        <v>0</v>
      </c>
      <c r="AI42" s="35">
        <v>0</v>
      </c>
      <c r="AJ42" s="35">
        <v>1</v>
      </c>
      <c r="AK42" s="35">
        <v>0</v>
      </c>
      <c r="AL42" s="35">
        <v>0</v>
      </c>
      <c r="AM42" s="35">
        <v>0</v>
      </c>
      <c r="AN42" s="35">
        <v>0</v>
      </c>
      <c r="AO42" s="35">
        <v>3</v>
      </c>
      <c r="AP42" s="38">
        <v>0</v>
      </c>
    </row>
    <row r="43" spans="1:46" x14ac:dyDescent="0.25">
      <c r="A43" t="s">
        <v>257</v>
      </c>
      <c r="B43" s="9" t="s">
        <v>103</v>
      </c>
      <c r="C43" s="12">
        <f>IF(C42=0,1,0)</f>
        <v>1</v>
      </c>
      <c r="D43" s="12">
        <f t="shared" ref="D43:AT43" si="8">IF(D42=0,1,0)</f>
        <v>0</v>
      </c>
      <c r="E43" s="12">
        <f t="shared" si="8"/>
        <v>0</v>
      </c>
      <c r="F43" s="12">
        <f t="shared" si="8"/>
        <v>0</v>
      </c>
      <c r="G43" s="12">
        <f t="shared" si="8"/>
        <v>1</v>
      </c>
      <c r="H43" s="12">
        <f t="shared" si="8"/>
        <v>0</v>
      </c>
      <c r="I43" s="12">
        <f t="shared" si="8"/>
        <v>1</v>
      </c>
      <c r="J43" s="12">
        <f t="shared" si="8"/>
        <v>0</v>
      </c>
      <c r="K43" s="12">
        <f t="shared" si="8"/>
        <v>1</v>
      </c>
      <c r="L43" s="12">
        <f t="shared" si="8"/>
        <v>1</v>
      </c>
      <c r="M43" s="12">
        <f t="shared" si="8"/>
        <v>1</v>
      </c>
      <c r="N43" s="12">
        <f t="shared" si="8"/>
        <v>1</v>
      </c>
      <c r="O43" s="12">
        <f t="shared" si="8"/>
        <v>1</v>
      </c>
      <c r="P43" s="12">
        <f t="shared" si="8"/>
        <v>1</v>
      </c>
      <c r="Q43" s="12">
        <f t="shared" si="8"/>
        <v>0</v>
      </c>
      <c r="R43" s="12">
        <f t="shared" si="8"/>
        <v>0</v>
      </c>
      <c r="S43" s="12">
        <f t="shared" si="8"/>
        <v>1</v>
      </c>
      <c r="T43" s="12">
        <f t="shared" si="8"/>
        <v>1</v>
      </c>
      <c r="U43" s="12">
        <f t="shared" si="8"/>
        <v>0</v>
      </c>
      <c r="V43" s="12">
        <f t="shared" si="8"/>
        <v>0</v>
      </c>
      <c r="W43" s="12">
        <f t="shared" si="8"/>
        <v>1</v>
      </c>
      <c r="X43" s="12">
        <f t="shared" si="8"/>
        <v>1</v>
      </c>
      <c r="Y43" s="12">
        <f t="shared" si="8"/>
        <v>1</v>
      </c>
      <c r="Z43" s="12">
        <f t="shared" si="8"/>
        <v>0</v>
      </c>
      <c r="AA43" s="12">
        <f t="shared" si="8"/>
        <v>0</v>
      </c>
      <c r="AB43" s="12">
        <f t="shared" si="8"/>
        <v>1</v>
      </c>
      <c r="AC43" s="12">
        <f t="shared" si="8"/>
        <v>0</v>
      </c>
      <c r="AD43" s="12">
        <f t="shared" si="8"/>
        <v>1</v>
      </c>
      <c r="AE43" s="12">
        <f t="shared" si="8"/>
        <v>1</v>
      </c>
      <c r="AF43" s="12">
        <f t="shared" si="8"/>
        <v>0</v>
      </c>
      <c r="AG43" s="35">
        <f t="shared" si="8"/>
        <v>1</v>
      </c>
      <c r="AH43" s="35">
        <f t="shared" si="8"/>
        <v>1</v>
      </c>
      <c r="AI43" s="35">
        <f t="shared" si="8"/>
        <v>1</v>
      </c>
      <c r="AJ43" s="35">
        <f t="shared" si="8"/>
        <v>0</v>
      </c>
      <c r="AK43" s="35">
        <f t="shared" si="8"/>
        <v>1</v>
      </c>
      <c r="AL43" s="35">
        <f t="shared" si="8"/>
        <v>1</v>
      </c>
      <c r="AM43" s="35">
        <f t="shared" si="8"/>
        <v>1</v>
      </c>
      <c r="AN43" s="35">
        <f t="shared" si="8"/>
        <v>1</v>
      </c>
      <c r="AO43" s="35">
        <f t="shared" si="8"/>
        <v>0</v>
      </c>
      <c r="AP43" s="35">
        <f t="shared" si="8"/>
        <v>1</v>
      </c>
      <c r="AQ43" s="35">
        <f t="shared" si="8"/>
        <v>1</v>
      </c>
      <c r="AR43" s="35">
        <f t="shared" si="8"/>
        <v>1</v>
      </c>
      <c r="AS43" s="35">
        <f t="shared" si="8"/>
        <v>1</v>
      </c>
      <c r="AT43" s="35">
        <f t="shared" si="8"/>
        <v>1</v>
      </c>
    </row>
    <row r="44" spans="1:46" x14ac:dyDescent="0.25">
      <c r="A44" t="s">
        <v>258</v>
      </c>
      <c r="B44" s="9" t="s">
        <v>152</v>
      </c>
      <c r="C44" s="12">
        <v>16</v>
      </c>
      <c r="D44" s="12">
        <v>12</v>
      </c>
      <c r="E44" s="12">
        <v>8</v>
      </c>
      <c r="F44" s="12">
        <v>16</v>
      </c>
      <c r="G44" s="12">
        <v>25</v>
      </c>
      <c r="H44" s="12">
        <v>59</v>
      </c>
      <c r="I44" s="12">
        <v>27</v>
      </c>
      <c r="J44" s="12">
        <v>34</v>
      </c>
      <c r="K44" s="12">
        <v>15</v>
      </c>
      <c r="L44" s="12">
        <v>20</v>
      </c>
      <c r="M44" s="12">
        <v>27</v>
      </c>
      <c r="N44" s="12">
        <v>27</v>
      </c>
      <c r="O44" s="12">
        <v>3</v>
      </c>
      <c r="P44" s="12">
        <v>13</v>
      </c>
      <c r="Q44" s="12">
        <v>20</v>
      </c>
      <c r="R44" s="12">
        <v>9</v>
      </c>
      <c r="S44" s="12">
        <v>25</v>
      </c>
      <c r="T44" s="12">
        <v>16</v>
      </c>
      <c r="U44" s="12">
        <v>14</v>
      </c>
      <c r="V44" s="12">
        <v>19</v>
      </c>
      <c r="W44" s="12">
        <v>15</v>
      </c>
      <c r="X44" s="12">
        <v>27</v>
      </c>
      <c r="Y44" s="12">
        <v>13</v>
      </c>
      <c r="Z44" s="12">
        <v>27</v>
      </c>
      <c r="AA44" s="12">
        <v>51</v>
      </c>
      <c r="AB44" s="12">
        <v>6</v>
      </c>
      <c r="AC44" s="12">
        <v>26</v>
      </c>
      <c r="AD44" s="12">
        <v>16</v>
      </c>
      <c r="AE44" s="12">
        <v>41</v>
      </c>
      <c r="AF44" s="12">
        <v>16</v>
      </c>
      <c r="AN44" s="35">
        <v>37</v>
      </c>
      <c r="AO44" s="35">
        <v>42</v>
      </c>
      <c r="AP44" s="38">
        <v>16</v>
      </c>
    </row>
    <row r="45" spans="1:46" x14ac:dyDescent="0.25">
      <c r="A45" t="s">
        <v>259</v>
      </c>
      <c r="B45" s="8" t="s">
        <v>111</v>
      </c>
      <c r="C45" s="12">
        <v>1</v>
      </c>
      <c r="D45" s="12">
        <v>2</v>
      </c>
      <c r="E45" s="12">
        <v>2</v>
      </c>
      <c r="F45" s="12">
        <v>0</v>
      </c>
      <c r="G45" s="12">
        <v>0</v>
      </c>
      <c r="H45" s="12">
        <v>0</v>
      </c>
      <c r="I45" s="12">
        <v>2</v>
      </c>
      <c r="J45" s="12">
        <v>2</v>
      </c>
      <c r="K45" s="12">
        <v>0</v>
      </c>
      <c r="L45" s="12">
        <v>0</v>
      </c>
      <c r="M45" s="12">
        <v>0</v>
      </c>
      <c r="N45" s="12">
        <v>2</v>
      </c>
      <c r="O45" s="12">
        <v>0</v>
      </c>
      <c r="P45" s="12">
        <v>2</v>
      </c>
      <c r="Q45" s="12">
        <v>0</v>
      </c>
      <c r="R45" s="12">
        <v>2</v>
      </c>
      <c r="S45" s="12">
        <v>2</v>
      </c>
      <c r="T45" s="12">
        <v>0</v>
      </c>
      <c r="U45" s="12">
        <v>0</v>
      </c>
      <c r="V45" s="12">
        <v>0</v>
      </c>
      <c r="W45" s="12">
        <v>2</v>
      </c>
      <c r="X45" s="12">
        <v>2</v>
      </c>
      <c r="Y45" s="12">
        <v>1</v>
      </c>
      <c r="Z45" s="12">
        <v>2</v>
      </c>
      <c r="AA45" s="12">
        <v>0</v>
      </c>
      <c r="AB45" s="12">
        <v>1</v>
      </c>
      <c r="AC45" s="12">
        <v>2</v>
      </c>
      <c r="AD45" s="12">
        <v>0</v>
      </c>
      <c r="AE45" s="12">
        <v>2</v>
      </c>
      <c r="AF45" s="12">
        <v>0</v>
      </c>
      <c r="AG45" s="35">
        <v>0</v>
      </c>
      <c r="AH45" s="35">
        <v>3</v>
      </c>
      <c r="AI45" s="35">
        <v>3</v>
      </c>
      <c r="AJ45" s="35">
        <v>0</v>
      </c>
      <c r="AK45" s="35">
        <v>3</v>
      </c>
      <c r="AL45" s="35">
        <v>3</v>
      </c>
      <c r="AM45" s="35">
        <v>2</v>
      </c>
      <c r="AN45" s="35">
        <v>0</v>
      </c>
      <c r="AO45" s="35">
        <v>0</v>
      </c>
      <c r="AP45" s="38">
        <v>2</v>
      </c>
    </row>
    <row r="46" spans="1:46" x14ac:dyDescent="0.25">
      <c r="A46" t="s">
        <v>262</v>
      </c>
      <c r="B46" s="9" t="s">
        <v>104</v>
      </c>
      <c r="C46" s="12">
        <f>IF(C45=0,1,0)</f>
        <v>0</v>
      </c>
      <c r="D46" s="12">
        <f t="shared" ref="D46:AT46" si="9">IF(D45=0,1,0)</f>
        <v>0</v>
      </c>
      <c r="E46" s="12">
        <f t="shared" si="9"/>
        <v>0</v>
      </c>
      <c r="F46" s="12">
        <f t="shared" si="9"/>
        <v>1</v>
      </c>
      <c r="G46" s="12">
        <f t="shared" si="9"/>
        <v>1</v>
      </c>
      <c r="H46" s="12">
        <f t="shared" si="9"/>
        <v>1</v>
      </c>
      <c r="I46" s="12">
        <f t="shared" si="9"/>
        <v>0</v>
      </c>
      <c r="J46" s="12">
        <f t="shared" si="9"/>
        <v>0</v>
      </c>
      <c r="K46" s="12">
        <f t="shared" si="9"/>
        <v>1</v>
      </c>
      <c r="L46" s="12">
        <f t="shared" si="9"/>
        <v>1</v>
      </c>
      <c r="M46" s="12">
        <f t="shared" si="9"/>
        <v>1</v>
      </c>
      <c r="N46" s="12">
        <f t="shared" si="9"/>
        <v>0</v>
      </c>
      <c r="O46" s="12">
        <f t="shared" si="9"/>
        <v>1</v>
      </c>
      <c r="P46" s="12">
        <f t="shared" si="9"/>
        <v>0</v>
      </c>
      <c r="Q46" s="12">
        <f t="shared" si="9"/>
        <v>1</v>
      </c>
      <c r="R46" s="12">
        <f t="shared" si="9"/>
        <v>0</v>
      </c>
      <c r="S46" s="12">
        <f t="shared" si="9"/>
        <v>0</v>
      </c>
      <c r="T46" s="12">
        <f t="shared" si="9"/>
        <v>1</v>
      </c>
      <c r="U46" s="12">
        <f t="shared" si="9"/>
        <v>1</v>
      </c>
      <c r="V46" s="12">
        <f t="shared" si="9"/>
        <v>1</v>
      </c>
      <c r="W46" s="12">
        <f t="shared" si="9"/>
        <v>0</v>
      </c>
      <c r="X46" s="12">
        <f t="shared" si="9"/>
        <v>0</v>
      </c>
      <c r="Y46" s="12">
        <f t="shared" si="9"/>
        <v>0</v>
      </c>
      <c r="Z46" s="12">
        <f t="shared" si="9"/>
        <v>0</v>
      </c>
      <c r="AA46" s="12">
        <f t="shared" si="9"/>
        <v>1</v>
      </c>
      <c r="AB46" s="12">
        <f t="shared" si="9"/>
        <v>0</v>
      </c>
      <c r="AC46" s="12">
        <f t="shared" si="9"/>
        <v>0</v>
      </c>
      <c r="AD46" s="12">
        <f t="shared" si="9"/>
        <v>1</v>
      </c>
      <c r="AE46" s="12">
        <f t="shared" si="9"/>
        <v>0</v>
      </c>
      <c r="AF46" s="12">
        <f t="shared" si="9"/>
        <v>1</v>
      </c>
      <c r="AG46" s="35">
        <f t="shared" si="9"/>
        <v>1</v>
      </c>
      <c r="AH46" s="35">
        <f t="shared" si="9"/>
        <v>0</v>
      </c>
      <c r="AI46" s="35">
        <f t="shared" si="9"/>
        <v>0</v>
      </c>
      <c r="AJ46" s="35">
        <f t="shared" si="9"/>
        <v>1</v>
      </c>
      <c r="AK46" s="35">
        <f t="shared" si="9"/>
        <v>0</v>
      </c>
      <c r="AL46" s="35">
        <f t="shared" si="9"/>
        <v>0</v>
      </c>
      <c r="AM46" s="35">
        <f t="shared" si="9"/>
        <v>0</v>
      </c>
      <c r="AN46" s="35">
        <f t="shared" si="9"/>
        <v>1</v>
      </c>
      <c r="AO46" s="35">
        <f t="shared" si="9"/>
        <v>1</v>
      </c>
      <c r="AP46" s="35">
        <f t="shared" si="9"/>
        <v>0</v>
      </c>
      <c r="AQ46" s="35">
        <f t="shared" si="9"/>
        <v>1</v>
      </c>
      <c r="AR46" s="35">
        <f t="shared" si="9"/>
        <v>1</v>
      </c>
      <c r="AS46" s="35">
        <f t="shared" si="9"/>
        <v>1</v>
      </c>
      <c r="AT46" s="35">
        <f t="shared" si="9"/>
        <v>1</v>
      </c>
    </row>
    <row r="47" spans="1:46" x14ac:dyDescent="0.25">
      <c r="A47" t="s">
        <v>263</v>
      </c>
      <c r="B47" s="9" t="s">
        <v>151</v>
      </c>
      <c r="C47" s="12">
        <v>13</v>
      </c>
      <c r="D47" s="12">
        <v>3</v>
      </c>
      <c r="E47" s="12">
        <v>4</v>
      </c>
      <c r="F47" s="12">
        <v>43</v>
      </c>
      <c r="G47" s="12">
        <v>19</v>
      </c>
      <c r="H47" s="12">
        <v>44</v>
      </c>
      <c r="I47" s="12">
        <v>17</v>
      </c>
      <c r="J47" s="12">
        <v>12</v>
      </c>
      <c r="K47" s="12">
        <v>12</v>
      </c>
      <c r="L47" s="12">
        <v>19</v>
      </c>
      <c r="M47" s="12">
        <v>25</v>
      </c>
      <c r="N47" s="12">
        <v>21</v>
      </c>
      <c r="O47" s="12">
        <v>8</v>
      </c>
      <c r="P47" s="12">
        <v>13</v>
      </c>
      <c r="Q47" s="12">
        <v>28</v>
      </c>
      <c r="R47" s="12">
        <v>8</v>
      </c>
      <c r="S47" s="12">
        <v>14</v>
      </c>
      <c r="T47" s="12">
        <v>27</v>
      </c>
      <c r="U47" s="12">
        <v>10</v>
      </c>
      <c r="V47" s="12">
        <v>15</v>
      </c>
      <c r="W47" s="12">
        <v>14</v>
      </c>
      <c r="X47" s="12">
        <v>22</v>
      </c>
      <c r="Y47" s="12">
        <v>26</v>
      </c>
      <c r="Z47" s="12">
        <v>23</v>
      </c>
      <c r="AA47" s="12">
        <v>62</v>
      </c>
      <c r="AB47" s="12">
        <v>68</v>
      </c>
      <c r="AC47" s="12">
        <v>47</v>
      </c>
      <c r="AD47" s="12">
        <v>11</v>
      </c>
      <c r="AE47" s="12">
        <v>37</v>
      </c>
      <c r="AF47" s="12">
        <v>16</v>
      </c>
      <c r="AN47" s="35">
        <v>17</v>
      </c>
      <c r="AO47" s="35">
        <v>36</v>
      </c>
      <c r="AP47" s="38">
        <v>14</v>
      </c>
    </row>
    <row r="48" spans="1:46" x14ac:dyDescent="0.25">
      <c r="A48" t="s">
        <v>264</v>
      </c>
      <c r="B48" s="8" t="s">
        <v>18</v>
      </c>
      <c r="C48" s="12">
        <v>2</v>
      </c>
      <c r="D48" s="12">
        <v>1</v>
      </c>
      <c r="E48" s="12">
        <v>0</v>
      </c>
      <c r="F48" s="12">
        <v>3</v>
      </c>
      <c r="G48" s="12">
        <v>1</v>
      </c>
      <c r="H48" s="12">
        <v>3</v>
      </c>
      <c r="I48" s="12">
        <v>3</v>
      </c>
      <c r="J48" s="12">
        <v>0</v>
      </c>
      <c r="K48" s="12">
        <v>1</v>
      </c>
      <c r="L48" s="12">
        <v>2</v>
      </c>
      <c r="M48" s="12">
        <v>2</v>
      </c>
      <c r="N48" s="12">
        <v>2</v>
      </c>
      <c r="O48" s="12">
        <v>2</v>
      </c>
      <c r="P48" s="12">
        <v>1</v>
      </c>
      <c r="Q48" s="12">
        <v>2</v>
      </c>
      <c r="R48" s="12">
        <v>2</v>
      </c>
      <c r="S48" s="12">
        <v>1</v>
      </c>
      <c r="T48" s="12">
        <v>2</v>
      </c>
      <c r="U48" s="12">
        <v>0</v>
      </c>
      <c r="V48" s="12">
        <v>1</v>
      </c>
      <c r="W48" s="12">
        <v>1</v>
      </c>
      <c r="X48" s="12">
        <v>2</v>
      </c>
      <c r="Y48" s="12">
        <v>2</v>
      </c>
      <c r="Z48" s="12">
        <v>1</v>
      </c>
      <c r="AA48" s="12">
        <v>2</v>
      </c>
      <c r="AB48" s="12">
        <v>3</v>
      </c>
      <c r="AC48" s="12">
        <v>2</v>
      </c>
      <c r="AD48" s="12">
        <v>2</v>
      </c>
      <c r="AE48" s="12">
        <v>2</v>
      </c>
      <c r="AF48" s="12">
        <v>0</v>
      </c>
      <c r="AG48" s="35">
        <v>0</v>
      </c>
      <c r="AH48" s="35">
        <v>3</v>
      </c>
      <c r="AI48" s="35">
        <v>2</v>
      </c>
      <c r="AJ48" s="35">
        <v>2</v>
      </c>
      <c r="AK48" s="35">
        <v>1</v>
      </c>
      <c r="AL48" s="35">
        <v>2</v>
      </c>
      <c r="AM48" s="35">
        <v>1</v>
      </c>
      <c r="AN48" s="35">
        <v>3</v>
      </c>
      <c r="AO48" s="35">
        <v>1</v>
      </c>
      <c r="AP48" s="38">
        <v>2</v>
      </c>
    </row>
    <row r="49" spans="1:46" x14ac:dyDescent="0.25">
      <c r="A49" t="s">
        <v>268</v>
      </c>
      <c r="B49" s="9" t="s">
        <v>106</v>
      </c>
      <c r="C49" s="12">
        <f>IF(C48=2,1,0)</f>
        <v>1</v>
      </c>
      <c r="D49" s="12">
        <f t="shared" ref="D49:AT49" si="10">IF(D48=2,1,0)</f>
        <v>0</v>
      </c>
      <c r="E49" s="12">
        <f t="shared" si="10"/>
        <v>0</v>
      </c>
      <c r="F49" s="12">
        <f t="shared" si="10"/>
        <v>0</v>
      </c>
      <c r="G49" s="12">
        <f t="shared" si="10"/>
        <v>0</v>
      </c>
      <c r="H49" s="12">
        <f t="shared" si="10"/>
        <v>0</v>
      </c>
      <c r="I49" s="12">
        <f t="shared" si="10"/>
        <v>0</v>
      </c>
      <c r="J49" s="12">
        <f t="shared" si="10"/>
        <v>0</v>
      </c>
      <c r="K49" s="12">
        <f t="shared" si="10"/>
        <v>0</v>
      </c>
      <c r="L49" s="12">
        <f t="shared" si="10"/>
        <v>1</v>
      </c>
      <c r="M49" s="12">
        <f t="shared" si="10"/>
        <v>1</v>
      </c>
      <c r="N49" s="12">
        <f t="shared" si="10"/>
        <v>1</v>
      </c>
      <c r="O49" s="12">
        <f t="shared" si="10"/>
        <v>1</v>
      </c>
      <c r="P49" s="12">
        <f t="shared" si="10"/>
        <v>0</v>
      </c>
      <c r="Q49" s="12">
        <f t="shared" si="10"/>
        <v>1</v>
      </c>
      <c r="R49" s="12">
        <f t="shared" si="10"/>
        <v>1</v>
      </c>
      <c r="S49" s="12">
        <f t="shared" si="10"/>
        <v>0</v>
      </c>
      <c r="T49" s="12">
        <f t="shared" si="10"/>
        <v>1</v>
      </c>
      <c r="U49" s="12">
        <f t="shared" si="10"/>
        <v>0</v>
      </c>
      <c r="V49" s="12">
        <f t="shared" si="10"/>
        <v>0</v>
      </c>
      <c r="W49" s="12">
        <f t="shared" si="10"/>
        <v>0</v>
      </c>
      <c r="X49" s="12">
        <f t="shared" si="10"/>
        <v>1</v>
      </c>
      <c r="Y49" s="12">
        <f t="shared" si="10"/>
        <v>1</v>
      </c>
      <c r="Z49" s="12">
        <f t="shared" si="10"/>
        <v>0</v>
      </c>
      <c r="AA49" s="12">
        <f t="shared" si="10"/>
        <v>1</v>
      </c>
      <c r="AB49" s="12">
        <f t="shared" si="10"/>
        <v>0</v>
      </c>
      <c r="AC49" s="12">
        <f t="shared" si="10"/>
        <v>1</v>
      </c>
      <c r="AD49" s="12">
        <f t="shared" si="10"/>
        <v>1</v>
      </c>
      <c r="AE49" s="12">
        <f t="shared" si="10"/>
        <v>1</v>
      </c>
      <c r="AF49" s="12">
        <f t="shared" si="10"/>
        <v>0</v>
      </c>
      <c r="AG49" s="35">
        <f t="shared" si="10"/>
        <v>0</v>
      </c>
      <c r="AH49" s="35">
        <f t="shared" si="10"/>
        <v>0</v>
      </c>
      <c r="AI49" s="35">
        <f t="shared" si="10"/>
        <v>1</v>
      </c>
      <c r="AJ49" s="35">
        <f t="shared" si="10"/>
        <v>1</v>
      </c>
      <c r="AK49" s="35">
        <f t="shared" si="10"/>
        <v>0</v>
      </c>
      <c r="AL49" s="35">
        <f t="shared" si="10"/>
        <v>1</v>
      </c>
      <c r="AM49" s="35">
        <f t="shared" si="10"/>
        <v>0</v>
      </c>
      <c r="AN49" s="35">
        <f t="shared" si="10"/>
        <v>0</v>
      </c>
      <c r="AO49" s="35">
        <f t="shared" si="10"/>
        <v>0</v>
      </c>
      <c r="AP49" s="35">
        <f t="shared" si="10"/>
        <v>1</v>
      </c>
      <c r="AQ49" s="35">
        <f t="shared" si="10"/>
        <v>0</v>
      </c>
      <c r="AR49" s="35">
        <f t="shared" si="10"/>
        <v>0</v>
      </c>
      <c r="AS49" s="35">
        <f t="shared" si="10"/>
        <v>0</v>
      </c>
      <c r="AT49" s="35">
        <f t="shared" si="10"/>
        <v>0</v>
      </c>
    </row>
    <row r="50" spans="1:46" x14ac:dyDescent="0.25">
      <c r="A50" t="s">
        <v>269</v>
      </c>
      <c r="B50" s="9" t="s">
        <v>155</v>
      </c>
      <c r="C50" s="12">
        <v>17</v>
      </c>
      <c r="D50" s="12">
        <v>2</v>
      </c>
      <c r="E50" s="12">
        <v>7</v>
      </c>
      <c r="F50" s="12">
        <v>26</v>
      </c>
      <c r="G50" s="12">
        <v>46</v>
      </c>
      <c r="H50" s="12">
        <v>71</v>
      </c>
      <c r="I50" s="12">
        <v>21</v>
      </c>
      <c r="J50" s="12">
        <v>15</v>
      </c>
      <c r="K50" s="12">
        <v>14</v>
      </c>
      <c r="L50" s="12">
        <v>12</v>
      </c>
      <c r="M50" s="12">
        <v>19</v>
      </c>
      <c r="N50" s="12">
        <v>22</v>
      </c>
      <c r="O50" s="12">
        <v>3</v>
      </c>
      <c r="P50" s="12">
        <v>11</v>
      </c>
      <c r="Q50" s="12">
        <v>28</v>
      </c>
      <c r="R50" s="12">
        <v>50</v>
      </c>
      <c r="S50" s="12">
        <v>25</v>
      </c>
      <c r="T50" s="12">
        <v>8</v>
      </c>
      <c r="U50" s="12">
        <v>10</v>
      </c>
      <c r="V50" s="12">
        <v>20</v>
      </c>
      <c r="W50" s="12">
        <v>10</v>
      </c>
      <c r="X50" s="12">
        <v>10</v>
      </c>
      <c r="Y50" s="12">
        <v>9</v>
      </c>
      <c r="Z50" s="12">
        <v>22</v>
      </c>
      <c r="AA50" s="12">
        <v>55</v>
      </c>
      <c r="AB50" s="12">
        <v>6</v>
      </c>
      <c r="AC50" s="12">
        <v>32</v>
      </c>
      <c r="AD50" s="12">
        <v>13</v>
      </c>
      <c r="AE50" s="12">
        <v>24</v>
      </c>
      <c r="AF50" s="12">
        <v>15</v>
      </c>
      <c r="AN50" s="35">
        <v>34</v>
      </c>
      <c r="AO50" s="35">
        <v>46</v>
      </c>
      <c r="AP50" s="38">
        <v>15</v>
      </c>
    </row>
    <row r="51" spans="1:46" x14ac:dyDescent="0.25">
      <c r="A51" t="s">
        <v>270</v>
      </c>
      <c r="B51" s="8" t="s">
        <v>19</v>
      </c>
      <c r="C51" s="12">
        <v>1</v>
      </c>
      <c r="D51" s="12">
        <v>1</v>
      </c>
      <c r="E51" s="12">
        <v>1</v>
      </c>
      <c r="F51" s="12">
        <v>2</v>
      </c>
      <c r="G51" s="12">
        <v>1</v>
      </c>
      <c r="H51" s="12">
        <v>1</v>
      </c>
      <c r="I51" s="12">
        <v>1</v>
      </c>
      <c r="J51" s="12">
        <v>1</v>
      </c>
      <c r="K51" s="12">
        <v>1</v>
      </c>
      <c r="L51" s="12">
        <v>1</v>
      </c>
      <c r="M51" s="12">
        <v>1</v>
      </c>
      <c r="N51" s="12">
        <v>1</v>
      </c>
      <c r="O51" s="12">
        <v>1</v>
      </c>
      <c r="P51" s="12">
        <v>2</v>
      </c>
      <c r="Q51" s="12">
        <v>1</v>
      </c>
      <c r="R51" s="12">
        <v>1</v>
      </c>
      <c r="S51" s="12">
        <v>1</v>
      </c>
      <c r="T51" s="12">
        <v>1</v>
      </c>
      <c r="U51" s="12">
        <v>1</v>
      </c>
      <c r="V51" s="12">
        <v>1</v>
      </c>
      <c r="W51" s="12">
        <v>1</v>
      </c>
      <c r="X51" s="12">
        <v>1</v>
      </c>
      <c r="Y51" s="12">
        <v>1</v>
      </c>
      <c r="Z51" s="12">
        <v>1</v>
      </c>
      <c r="AA51" s="12">
        <v>1</v>
      </c>
      <c r="AB51" s="12">
        <v>1</v>
      </c>
      <c r="AC51" s="12">
        <v>1</v>
      </c>
      <c r="AD51" s="12">
        <v>1</v>
      </c>
      <c r="AE51" s="12">
        <v>4</v>
      </c>
      <c r="AF51" s="12">
        <v>1</v>
      </c>
      <c r="AG51" s="35">
        <v>1</v>
      </c>
      <c r="AH51" s="35">
        <v>1</v>
      </c>
      <c r="AI51" s="35">
        <v>1</v>
      </c>
      <c r="AJ51" s="35">
        <v>1</v>
      </c>
      <c r="AK51" s="35">
        <v>1</v>
      </c>
      <c r="AL51" s="35">
        <v>1</v>
      </c>
      <c r="AM51" s="35">
        <v>1</v>
      </c>
      <c r="AN51" s="35">
        <v>1</v>
      </c>
      <c r="AO51" s="35">
        <v>1</v>
      </c>
      <c r="AP51" s="38">
        <v>1</v>
      </c>
    </row>
    <row r="52" spans="1:46" x14ac:dyDescent="0.25">
      <c r="A52" t="s">
        <v>274</v>
      </c>
      <c r="B52" s="9" t="s">
        <v>105</v>
      </c>
      <c r="C52" s="12">
        <f>IF(C51=1,1,0)</f>
        <v>1</v>
      </c>
      <c r="D52" s="12">
        <f t="shared" ref="D52:AT52" si="11">IF(D51=1,1,0)</f>
        <v>1</v>
      </c>
      <c r="E52" s="12">
        <f t="shared" si="11"/>
        <v>1</v>
      </c>
      <c r="F52" s="12">
        <f t="shared" si="11"/>
        <v>0</v>
      </c>
      <c r="G52" s="12">
        <f t="shared" si="11"/>
        <v>1</v>
      </c>
      <c r="H52" s="12">
        <f t="shared" si="11"/>
        <v>1</v>
      </c>
      <c r="I52" s="12">
        <f t="shared" si="11"/>
        <v>1</v>
      </c>
      <c r="J52" s="12">
        <f t="shared" si="11"/>
        <v>1</v>
      </c>
      <c r="K52" s="12">
        <f t="shared" si="11"/>
        <v>1</v>
      </c>
      <c r="L52" s="12">
        <f t="shared" si="11"/>
        <v>1</v>
      </c>
      <c r="M52" s="12">
        <f t="shared" si="11"/>
        <v>1</v>
      </c>
      <c r="N52" s="12">
        <f t="shared" si="11"/>
        <v>1</v>
      </c>
      <c r="O52" s="12">
        <f t="shared" si="11"/>
        <v>1</v>
      </c>
      <c r="P52" s="12">
        <f t="shared" si="11"/>
        <v>0</v>
      </c>
      <c r="Q52" s="12">
        <f t="shared" si="11"/>
        <v>1</v>
      </c>
      <c r="R52" s="12">
        <f t="shared" si="11"/>
        <v>1</v>
      </c>
      <c r="S52" s="12">
        <f t="shared" si="11"/>
        <v>1</v>
      </c>
      <c r="T52" s="12">
        <f t="shared" si="11"/>
        <v>1</v>
      </c>
      <c r="U52" s="12">
        <f t="shared" si="11"/>
        <v>1</v>
      </c>
      <c r="V52" s="12">
        <f t="shared" si="11"/>
        <v>1</v>
      </c>
      <c r="W52" s="12">
        <f t="shared" si="11"/>
        <v>1</v>
      </c>
      <c r="X52" s="12">
        <f t="shared" si="11"/>
        <v>1</v>
      </c>
      <c r="Y52" s="12">
        <f t="shared" si="11"/>
        <v>1</v>
      </c>
      <c r="Z52" s="12">
        <f t="shared" si="11"/>
        <v>1</v>
      </c>
      <c r="AA52" s="12">
        <f t="shared" si="11"/>
        <v>1</v>
      </c>
      <c r="AB52" s="12">
        <f t="shared" si="11"/>
        <v>1</v>
      </c>
      <c r="AC52" s="12">
        <f t="shared" si="11"/>
        <v>1</v>
      </c>
      <c r="AD52" s="12">
        <f t="shared" si="11"/>
        <v>1</v>
      </c>
      <c r="AE52" s="12">
        <f t="shared" si="11"/>
        <v>0</v>
      </c>
      <c r="AF52" s="12">
        <f t="shared" si="11"/>
        <v>1</v>
      </c>
      <c r="AG52" s="35">
        <f t="shared" si="11"/>
        <v>1</v>
      </c>
      <c r="AH52" s="35">
        <f t="shared" si="11"/>
        <v>1</v>
      </c>
      <c r="AI52" s="35">
        <f t="shared" si="11"/>
        <v>1</v>
      </c>
      <c r="AJ52" s="35">
        <f t="shared" si="11"/>
        <v>1</v>
      </c>
      <c r="AK52" s="35">
        <f t="shared" si="11"/>
        <v>1</v>
      </c>
      <c r="AL52" s="35">
        <f t="shared" si="11"/>
        <v>1</v>
      </c>
      <c r="AM52" s="35">
        <f t="shared" si="11"/>
        <v>1</v>
      </c>
      <c r="AN52" s="35">
        <f t="shared" si="11"/>
        <v>1</v>
      </c>
      <c r="AO52" s="35">
        <f t="shared" si="11"/>
        <v>1</v>
      </c>
      <c r="AP52" s="35">
        <f t="shared" si="11"/>
        <v>1</v>
      </c>
      <c r="AQ52" s="35">
        <f t="shared" si="11"/>
        <v>0</v>
      </c>
      <c r="AR52" s="35">
        <f t="shared" si="11"/>
        <v>0</v>
      </c>
      <c r="AS52" s="35">
        <f t="shared" si="11"/>
        <v>0</v>
      </c>
      <c r="AT52" s="35">
        <f t="shared" si="11"/>
        <v>0</v>
      </c>
    </row>
    <row r="53" spans="1:46" x14ac:dyDescent="0.25">
      <c r="A53" t="s">
        <v>275</v>
      </c>
      <c r="B53" s="9" t="s">
        <v>154</v>
      </c>
      <c r="C53" s="12">
        <v>23</v>
      </c>
      <c r="D53" s="12">
        <v>7</v>
      </c>
      <c r="E53" s="12">
        <v>6</v>
      </c>
      <c r="F53" s="12">
        <v>22</v>
      </c>
      <c r="G53" s="12">
        <v>11</v>
      </c>
      <c r="H53" s="12">
        <v>9</v>
      </c>
      <c r="I53" s="12">
        <v>7</v>
      </c>
      <c r="J53" s="12">
        <v>8</v>
      </c>
      <c r="K53" s="12">
        <v>21</v>
      </c>
      <c r="L53" s="12">
        <v>6</v>
      </c>
      <c r="M53" s="12">
        <v>5</v>
      </c>
      <c r="N53" s="12">
        <v>4</v>
      </c>
      <c r="O53" s="12">
        <v>2</v>
      </c>
      <c r="P53" s="12">
        <v>15</v>
      </c>
      <c r="Q53" s="12">
        <v>4</v>
      </c>
      <c r="R53" s="12">
        <v>5</v>
      </c>
      <c r="S53" s="12">
        <v>20</v>
      </c>
      <c r="T53" s="12">
        <v>6</v>
      </c>
      <c r="U53" s="12">
        <v>6</v>
      </c>
      <c r="V53" s="12">
        <v>6</v>
      </c>
      <c r="W53" s="12">
        <v>6</v>
      </c>
      <c r="X53" s="12">
        <v>5</v>
      </c>
      <c r="Y53" s="12">
        <v>7</v>
      </c>
      <c r="Z53" s="12">
        <v>6</v>
      </c>
      <c r="AA53" s="12">
        <v>38</v>
      </c>
      <c r="AB53" s="12">
        <v>6</v>
      </c>
      <c r="AC53" s="12">
        <v>6</v>
      </c>
      <c r="AD53" s="12">
        <v>4</v>
      </c>
      <c r="AE53" s="12">
        <v>8</v>
      </c>
      <c r="AF53" s="12">
        <v>5</v>
      </c>
      <c r="AN53" s="35">
        <v>7</v>
      </c>
      <c r="AO53" s="35">
        <v>12</v>
      </c>
      <c r="AP53" s="38">
        <v>5</v>
      </c>
    </row>
    <row r="54" spans="1:46" x14ac:dyDescent="0.25">
      <c r="A54" t="s">
        <v>276</v>
      </c>
      <c r="B54" s="8" t="s">
        <v>20</v>
      </c>
      <c r="C54" s="12">
        <v>1</v>
      </c>
      <c r="D54" s="12">
        <v>3</v>
      </c>
      <c r="E54" s="12">
        <v>3</v>
      </c>
      <c r="F54" s="12">
        <v>0</v>
      </c>
      <c r="G54" s="12">
        <v>3</v>
      </c>
      <c r="H54" s="12">
        <v>3</v>
      </c>
      <c r="I54" s="12">
        <v>3</v>
      </c>
      <c r="J54" s="12">
        <v>1</v>
      </c>
      <c r="K54" s="12">
        <v>3</v>
      </c>
      <c r="L54" s="12">
        <v>3</v>
      </c>
      <c r="M54" s="12">
        <v>0</v>
      </c>
      <c r="N54" s="12">
        <v>0</v>
      </c>
      <c r="O54" s="12">
        <v>3</v>
      </c>
      <c r="P54" s="12">
        <v>3</v>
      </c>
      <c r="Q54" s="12">
        <v>3</v>
      </c>
      <c r="R54" s="12">
        <v>0</v>
      </c>
      <c r="S54" s="12">
        <v>3</v>
      </c>
      <c r="T54" s="12">
        <v>3</v>
      </c>
      <c r="U54" s="12">
        <v>3</v>
      </c>
      <c r="V54" s="12">
        <v>3</v>
      </c>
      <c r="W54" s="12">
        <v>0</v>
      </c>
      <c r="X54" s="12">
        <v>3</v>
      </c>
      <c r="Y54" s="12">
        <v>3</v>
      </c>
      <c r="Z54" s="12">
        <v>0</v>
      </c>
      <c r="AA54" s="12">
        <v>3</v>
      </c>
      <c r="AB54" s="12">
        <v>2</v>
      </c>
      <c r="AC54" s="12">
        <v>1</v>
      </c>
      <c r="AD54" s="12">
        <v>3</v>
      </c>
      <c r="AE54" s="12">
        <v>0</v>
      </c>
      <c r="AF54" s="12">
        <v>0</v>
      </c>
      <c r="AG54" s="35">
        <v>3</v>
      </c>
      <c r="AH54" s="35">
        <v>3</v>
      </c>
      <c r="AI54" s="35">
        <v>3</v>
      </c>
      <c r="AJ54" s="35">
        <v>3</v>
      </c>
      <c r="AK54" s="35">
        <v>2</v>
      </c>
      <c r="AL54" s="35">
        <v>3</v>
      </c>
      <c r="AM54" s="35">
        <v>2</v>
      </c>
      <c r="AN54" s="35">
        <v>3</v>
      </c>
      <c r="AO54" s="35">
        <v>3</v>
      </c>
      <c r="AP54" s="38">
        <v>0</v>
      </c>
    </row>
    <row r="55" spans="1:46" x14ac:dyDescent="0.25">
      <c r="A55" t="s">
        <v>280</v>
      </c>
      <c r="B55" s="9" t="s">
        <v>107</v>
      </c>
      <c r="C55" s="12">
        <f>IF(C54=3,1,0)</f>
        <v>0</v>
      </c>
      <c r="D55" s="12">
        <f t="shared" ref="D55:AT55" si="12">IF(D54=3,1,0)</f>
        <v>1</v>
      </c>
      <c r="E55" s="12">
        <f t="shared" si="12"/>
        <v>1</v>
      </c>
      <c r="F55" s="12">
        <f t="shared" si="12"/>
        <v>0</v>
      </c>
      <c r="G55" s="12">
        <f t="shared" si="12"/>
        <v>1</v>
      </c>
      <c r="H55" s="12">
        <f t="shared" si="12"/>
        <v>1</v>
      </c>
      <c r="I55" s="12">
        <f t="shared" si="12"/>
        <v>1</v>
      </c>
      <c r="J55" s="12">
        <f t="shared" si="12"/>
        <v>0</v>
      </c>
      <c r="K55" s="12">
        <f t="shared" si="12"/>
        <v>1</v>
      </c>
      <c r="L55" s="12">
        <f t="shared" si="12"/>
        <v>1</v>
      </c>
      <c r="M55" s="12">
        <f t="shared" si="12"/>
        <v>0</v>
      </c>
      <c r="N55" s="12">
        <f t="shared" si="12"/>
        <v>0</v>
      </c>
      <c r="O55" s="12">
        <f t="shared" si="12"/>
        <v>1</v>
      </c>
      <c r="P55" s="12">
        <f t="shared" si="12"/>
        <v>1</v>
      </c>
      <c r="Q55" s="12">
        <f t="shared" si="12"/>
        <v>1</v>
      </c>
      <c r="R55" s="12">
        <f t="shared" si="12"/>
        <v>0</v>
      </c>
      <c r="S55" s="12">
        <f t="shared" si="12"/>
        <v>1</v>
      </c>
      <c r="T55" s="12">
        <f t="shared" si="12"/>
        <v>1</v>
      </c>
      <c r="U55" s="12">
        <f t="shared" si="12"/>
        <v>1</v>
      </c>
      <c r="V55" s="12">
        <f t="shared" si="12"/>
        <v>1</v>
      </c>
      <c r="W55" s="12">
        <f t="shared" si="12"/>
        <v>0</v>
      </c>
      <c r="X55" s="12">
        <f t="shared" si="12"/>
        <v>1</v>
      </c>
      <c r="Y55" s="12">
        <f t="shared" si="12"/>
        <v>1</v>
      </c>
      <c r="Z55" s="12">
        <f t="shared" si="12"/>
        <v>0</v>
      </c>
      <c r="AA55" s="12">
        <f t="shared" si="12"/>
        <v>1</v>
      </c>
      <c r="AB55" s="12">
        <f t="shared" si="12"/>
        <v>0</v>
      </c>
      <c r="AC55" s="12">
        <f t="shared" si="12"/>
        <v>0</v>
      </c>
      <c r="AD55" s="12">
        <f t="shared" si="12"/>
        <v>1</v>
      </c>
      <c r="AE55" s="12">
        <f t="shared" si="12"/>
        <v>0</v>
      </c>
      <c r="AF55" s="12">
        <f t="shared" si="12"/>
        <v>0</v>
      </c>
      <c r="AG55" s="35">
        <f t="shared" si="12"/>
        <v>1</v>
      </c>
      <c r="AH55" s="35">
        <f t="shared" si="12"/>
        <v>1</v>
      </c>
      <c r="AI55" s="35">
        <f t="shared" si="12"/>
        <v>1</v>
      </c>
      <c r="AJ55" s="35">
        <f t="shared" si="12"/>
        <v>1</v>
      </c>
      <c r="AK55" s="35">
        <f t="shared" si="12"/>
        <v>0</v>
      </c>
      <c r="AL55" s="35">
        <f t="shared" si="12"/>
        <v>1</v>
      </c>
      <c r="AM55" s="35">
        <f t="shared" si="12"/>
        <v>0</v>
      </c>
      <c r="AN55" s="35">
        <f t="shared" si="12"/>
        <v>1</v>
      </c>
      <c r="AO55" s="35">
        <f t="shared" si="12"/>
        <v>1</v>
      </c>
      <c r="AP55" s="35">
        <f t="shared" si="12"/>
        <v>0</v>
      </c>
      <c r="AQ55" s="35">
        <f t="shared" si="12"/>
        <v>0</v>
      </c>
      <c r="AR55" s="35">
        <f t="shared" si="12"/>
        <v>0</v>
      </c>
      <c r="AS55" s="35">
        <f t="shared" si="12"/>
        <v>0</v>
      </c>
      <c r="AT55" s="35">
        <f t="shared" si="12"/>
        <v>0</v>
      </c>
    </row>
    <row r="56" spans="1:46" x14ac:dyDescent="0.25">
      <c r="A56" t="s">
        <v>281</v>
      </c>
      <c r="B56" s="9" t="s">
        <v>156</v>
      </c>
      <c r="C56" s="12">
        <v>58</v>
      </c>
      <c r="D56" s="12">
        <v>2</v>
      </c>
      <c r="E56" s="12">
        <v>11</v>
      </c>
      <c r="F56" s="12">
        <v>65</v>
      </c>
      <c r="G56" s="12">
        <v>30</v>
      </c>
      <c r="H56" s="12">
        <v>170</v>
      </c>
      <c r="I56" s="12">
        <v>24</v>
      </c>
      <c r="J56" s="12">
        <v>37</v>
      </c>
      <c r="K56" s="12">
        <v>17</v>
      </c>
      <c r="L56" s="12">
        <v>30</v>
      </c>
      <c r="M56" s="12">
        <v>30</v>
      </c>
      <c r="N56" s="12">
        <v>30</v>
      </c>
      <c r="O56" s="12">
        <v>5</v>
      </c>
      <c r="P56" s="12">
        <v>24</v>
      </c>
      <c r="Q56" s="12">
        <v>30</v>
      </c>
      <c r="R56" s="12">
        <v>12</v>
      </c>
      <c r="S56" s="12">
        <v>64</v>
      </c>
      <c r="T56" s="12">
        <v>21</v>
      </c>
      <c r="U56" s="12">
        <v>23</v>
      </c>
      <c r="V56" s="12">
        <v>27</v>
      </c>
      <c r="W56" s="12">
        <v>23</v>
      </c>
      <c r="X56" s="12">
        <v>18</v>
      </c>
      <c r="Y56" s="12">
        <v>42</v>
      </c>
      <c r="Z56" s="12">
        <v>23</v>
      </c>
      <c r="AA56" s="12">
        <v>37</v>
      </c>
      <c r="AB56" s="12">
        <v>36</v>
      </c>
      <c r="AC56" s="12">
        <v>24</v>
      </c>
      <c r="AD56" s="12">
        <v>22</v>
      </c>
      <c r="AE56" s="12">
        <v>66</v>
      </c>
      <c r="AF56" s="12">
        <v>22</v>
      </c>
      <c r="AN56" s="35">
        <v>37</v>
      </c>
      <c r="AO56" s="35">
        <v>121</v>
      </c>
      <c r="AP56" s="38">
        <v>30</v>
      </c>
    </row>
    <row r="57" spans="1:46" x14ac:dyDescent="0.25">
      <c r="A57" t="s">
        <v>282</v>
      </c>
      <c r="B57" s="8" t="s">
        <v>21</v>
      </c>
      <c r="C57" s="12">
        <v>2</v>
      </c>
      <c r="D57" s="12">
        <v>2</v>
      </c>
      <c r="E57" s="12">
        <v>0</v>
      </c>
      <c r="F57" s="12">
        <v>2</v>
      </c>
      <c r="G57" s="12">
        <v>2</v>
      </c>
      <c r="H57" s="12">
        <v>2</v>
      </c>
      <c r="I57" s="12">
        <v>2</v>
      </c>
      <c r="J57" s="12">
        <v>2</v>
      </c>
      <c r="K57" s="12">
        <v>2</v>
      </c>
      <c r="L57" s="12">
        <v>2</v>
      </c>
      <c r="M57" s="12">
        <v>2</v>
      </c>
      <c r="N57" s="12">
        <v>2</v>
      </c>
      <c r="O57" s="12">
        <v>2</v>
      </c>
      <c r="P57" s="12">
        <v>2</v>
      </c>
      <c r="Q57" s="12">
        <v>2</v>
      </c>
      <c r="R57" s="12">
        <v>2</v>
      </c>
      <c r="S57" s="12">
        <v>2</v>
      </c>
      <c r="T57" s="12">
        <v>2</v>
      </c>
      <c r="U57" s="12">
        <v>2</v>
      </c>
      <c r="V57" s="12">
        <v>1</v>
      </c>
      <c r="W57" s="12">
        <v>2</v>
      </c>
      <c r="X57" s="12">
        <v>3</v>
      </c>
      <c r="Y57" s="12">
        <v>2</v>
      </c>
      <c r="Z57" s="12">
        <v>2</v>
      </c>
      <c r="AA57" s="12">
        <v>2</v>
      </c>
      <c r="AB57" s="12">
        <v>2</v>
      </c>
      <c r="AC57" s="12">
        <v>1</v>
      </c>
      <c r="AD57" s="12">
        <v>2</v>
      </c>
      <c r="AE57" s="12">
        <v>2</v>
      </c>
      <c r="AF57" s="12">
        <v>2</v>
      </c>
      <c r="AG57" s="35">
        <v>2</v>
      </c>
      <c r="AH57" s="35">
        <v>2</v>
      </c>
      <c r="AI57" s="35">
        <v>2</v>
      </c>
      <c r="AJ57" s="35">
        <v>2</v>
      </c>
      <c r="AK57" s="35">
        <v>2</v>
      </c>
      <c r="AL57" s="35">
        <v>2</v>
      </c>
      <c r="AM57" s="35">
        <v>2</v>
      </c>
      <c r="AN57" s="35">
        <v>2</v>
      </c>
      <c r="AO57" s="35">
        <v>2</v>
      </c>
      <c r="AP57" s="38">
        <v>2</v>
      </c>
    </row>
    <row r="58" spans="1:46" x14ac:dyDescent="0.25">
      <c r="A58" t="s">
        <v>286</v>
      </c>
      <c r="B58" s="9" t="s">
        <v>108</v>
      </c>
      <c r="C58" s="12">
        <f>IF(C57=2,1,0)</f>
        <v>1</v>
      </c>
      <c r="D58" s="12">
        <f t="shared" ref="D58:AT58" si="13">IF(D57=2,1,0)</f>
        <v>1</v>
      </c>
      <c r="E58" s="12">
        <f t="shared" si="13"/>
        <v>0</v>
      </c>
      <c r="F58" s="12">
        <f t="shared" si="13"/>
        <v>1</v>
      </c>
      <c r="G58" s="12">
        <f t="shared" si="13"/>
        <v>1</v>
      </c>
      <c r="H58" s="12">
        <f t="shared" si="13"/>
        <v>1</v>
      </c>
      <c r="I58" s="12">
        <f t="shared" si="13"/>
        <v>1</v>
      </c>
      <c r="J58" s="12">
        <f t="shared" si="13"/>
        <v>1</v>
      </c>
      <c r="K58" s="12">
        <f t="shared" si="13"/>
        <v>1</v>
      </c>
      <c r="L58" s="12">
        <f t="shared" si="13"/>
        <v>1</v>
      </c>
      <c r="M58" s="12">
        <f t="shared" si="13"/>
        <v>1</v>
      </c>
      <c r="N58" s="12">
        <f t="shared" si="13"/>
        <v>1</v>
      </c>
      <c r="O58" s="12">
        <f t="shared" si="13"/>
        <v>1</v>
      </c>
      <c r="P58" s="12">
        <f t="shared" si="13"/>
        <v>1</v>
      </c>
      <c r="Q58" s="12">
        <f t="shared" si="13"/>
        <v>1</v>
      </c>
      <c r="R58" s="12">
        <f t="shared" si="13"/>
        <v>1</v>
      </c>
      <c r="S58" s="12">
        <f t="shared" si="13"/>
        <v>1</v>
      </c>
      <c r="T58" s="12">
        <f t="shared" si="13"/>
        <v>1</v>
      </c>
      <c r="U58" s="12">
        <f t="shared" si="13"/>
        <v>1</v>
      </c>
      <c r="V58" s="12">
        <f t="shared" si="13"/>
        <v>0</v>
      </c>
      <c r="W58" s="12">
        <f t="shared" si="13"/>
        <v>1</v>
      </c>
      <c r="X58" s="12">
        <f t="shared" si="13"/>
        <v>0</v>
      </c>
      <c r="Y58" s="12">
        <f t="shared" si="13"/>
        <v>1</v>
      </c>
      <c r="Z58" s="12">
        <f t="shared" si="13"/>
        <v>1</v>
      </c>
      <c r="AA58" s="12">
        <f t="shared" si="13"/>
        <v>1</v>
      </c>
      <c r="AB58" s="12">
        <f t="shared" si="13"/>
        <v>1</v>
      </c>
      <c r="AC58" s="12">
        <f t="shared" si="13"/>
        <v>0</v>
      </c>
      <c r="AD58" s="12">
        <f t="shared" si="13"/>
        <v>1</v>
      </c>
      <c r="AE58" s="12">
        <f t="shared" si="13"/>
        <v>1</v>
      </c>
      <c r="AF58" s="12">
        <f t="shared" si="13"/>
        <v>1</v>
      </c>
      <c r="AG58" s="35">
        <f t="shared" si="13"/>
        <v>1</v>
      </c>
      <c r="AH58" s="35">
        <f t="shared" si="13"/>
        <v>1</v>
      </c>
      <c r="AI58" s="35">
        <f t="shared" si="13"/>
        <v>1</v>
      </c>
      <c r="AJ58" s="35">
        <f t="shared" si="13"/>
        <v>1</v>
      </c>
      <c r="AK58" s="35">
        <f t="shared" si="13"/>
        <v>1</v>
      </c>
      <c r="AL58" s="35">
        <f t="shared" si="13"/>
        <v>1</v>
      </c>
      <c r="AM58" s="35">
        <f t="shared" si="13"/>
        <v>1</v>
      </c>
      <c r="AN58" s="35">
        <f t="shared" si="13"/>
        <v>1</v>
      </c>
      <c r="AO58" s="35">
        <f t="shared" si="13"/>
        <v>1</v>
      </c>
      <c r="AP58" s="35">
        <f t="shared" si="13"/>
        <v>1</v>
      </c>
      <c r="AQ58" s="35">
        <f t="shared" si="13"/>
        <v>0</v>
      </c>
      <c r="AR58" s="35">
        <f t="shared" si="13"/>
        <v>0</v>
      </c>
      <c r="AS58" s="35">
        <f t="shared" si="13"/>
        <v>0</v>
      </c>
      <c r="AT58" s="35">
        <f t="shared" si="13"/>
        <v>0</v>
      </c>
    </row>
    <row r="59" spans="1:46" x14ac:dyDescent="0.25">
      <c r="A59" t="s">
        <v>287</v>
      </c>
      <c r="B59" s="9" t="s">
        <v>157</v>
      </c>
      <c r="C59" s="12">
        <v>13</v>
      </c>
      <c r="D59" s="12">
        <v>10</v>
      </c>
      <c r="E59" s="12">
        <v>80</v>
      </c>
      <c r="F59" s="12">
        <v>10</v>
      </c>
      <c r="G59" s="12">
        <v>44</v>
      </c>
      <c r="H59" s="12">
        <v>31</v>
      </c>
      <c r="I59" s="12">
        <v>76</v>
      </c>
      <c r="J59" s="12">
        <v>43</v>
      </c>
      <c r="K59" s="12">
        <v>21</v>
      </c>
      <c r="L59" s="12">
        <v>30</v>
      </c>
      <c r="M59" s="12">
        <v>21</v>
      </c>
      <c r="N59" s="12">
        <v>9</v>
      </c>
      <c r="O59" s="12">
        <v>3</v>
      </c>
      <c r="P59" s="12">
        <v>8</v>
      </c>
      <c r="Q59" s="12">
        <v>27</v>
      </c>
      <c r="R59" s="12">
        <v>17</v>
      </c>
      <c r="S59" s="12">
        <v>9</v>
      </c>
      <c r="T59" s="12">
        <v>27</v>
      </c>
      <c r="U59" s="12">
        <v>41</v>
      </c>
      <c r="V59" s="12">
        <v>70</v>
      </c>
      <c r="W59" s="12">
        <v>80</v>
      </c>
      <c r="X59" s="12">
        <v>9</v>
      </c>
      <c r="Y59" s="12">
        <v>141</v>
      </c>
      <c r="Z59" s="12">
        <v>17</v>
      </c>
      <c r="AA59" s="12">
        <v>23</v>
      </c>
      <c r="AB59" s="12">
        <v>42</v>
      </c>
      <c r="AC59" s="12">
        <v>57</v>
      </c>
      <c r="AD59" s="12">
        <v>17</v>
      </c>
      <c r="AE59" s="12">
        <v>54</v>
      </c>
      <c r="AF59" s="12">
        <v>10</v>
      </c>
      <c r="AN59" s="35">
        <v>25</v>
      </c>
      <c r="AO59" s="35">
        <v>37</v>
      </c>
      <c r="AP59" s="38">
        <v>22</v>
      </c>
    </row>
    <row r="60" spans="1:46" x14ac:dyDescent="0.25">
      <c r="A60" t="s">
        <v>288</v>
      </c>
      <c r="B60" s="9" t="s">
        <v>161</v>
      </c>
      <c r="C60" s="12">
        <f t="shared" ref="C60:T60" si="14">C13-C59</f>
        <v>39</v>
      </c>
      <c r="D60" s="12">
        <f t="shared" si="14"/>
        <v>161</v>
      </c>
      <c r="E60" s="12">
        <f t="shared" si="14"/>
        <v>-63</v>
      </c>
      <c r="F60" s="12">
        <f t="shared" si="14"/>
        <v>172</v>
      </c>
      <c r="G60" s="12">
        <f t="shared" si="14"/>
        <v>63</v>
      </c>
      <c r="H60" s="12">
        <f t="shared" si="14"/>
        <v>61</v>
      </c>
      <c r="I60" s="12">
        <f t="shared" si="14"/>
        <v>55</v>
      </c>
      <c r="J60" s="12">
        <f t="shared" si="14"/>
        <v>20</v>
      </c>
      <c r="K60" s="12">
        <f t="shared" si="14"/>
        <v>212</v>
      </c>
      <c r="L60" s="12">
        <f t="shared" si="14"/>
        <v>127</v>
      </c>
      <c r="M60" s="12">
        <f t="shared" si="14"/>
        <v>3</v>
      </c>
      <c r="N60" s="12">
        <f t="shared" si="14"/>
        <v>54</v>
      </c>
      <c r="O60" s="12">
        <f t="shared" si="14"/>
        <v>0</v>
      </c>
      <c r="P60" s="12">
        <f t="shared" si="14"/>
        <v>45</v>
      </c>
      <c r="Q60" s="12">
        <f t="shared" si="14"/>
        <v>23</v>
      </c>
      <c r="R60" s="12">
        <f t="shared" si="14"/>
        <v>77</v>
      </c>
      <c r="S60" s="12">
        <f t="shared" si="14"/>
        <v>304</v>
      </c>
      <c r="T60" s="12">
        <f t="shared" si="14"/>
        <v>97</v>
      </c>
      <c r="U60" s="12">
        <f>U13-U59</f>
        <v>-5</v>
      </c>
      <c r="V60" s="12">
        <f t="shared" ref="V60:AT60" si="15">V13-V59</f>
        <v>88</v>
      </c>
      <c r="W60" s="12">
        <f t="shared" si="15"/>
        <v>94</v>
      </c>
      <c r="X60" s="12">
        <f t="shared" si="15"/>
        <v>-7</v>
      </c>
      <c r="Y60" s="12">
        <f t="shared" si="15"/>
        <v>-128</v>
      </c>
      <c r="Z60" s="12">
        <f t="shared" si="15"/>
        <v>7</v>
      </c>
      <c r="AA60" s="12">
        <f t="shared" si="15"/>
        <v>165</v>
      </c>
      <c r="AB60" s="12">
        <f t="shared" si="15"/>
        <v>-11</v>
      </c>
      <c r="AC60" s="12">
        <f t="shared" si="15"/>
        <v>-56</v>
      </c>
      <c r="AD60" s="12">
        <f t="shared" si="15"/>
        <v>14</v>
      </c>
      <c r="AE60" s="12">
        <f t="shared" si="15"/>
        <v>-22</v>
      </c>
      <c r="AF60" s="12">
        <f t="shared" si="15"/>
        <v>80</v>
      </c>
      <c r="AG60" s="35">
        <f t="shared" si="15"/>
        <v>0</v>
      </c>
      <c r="AH60" s="35">
        <f t="shared" si="15"/>
        <v>0</v>
      </c>
      <c r="AI60" s="35">
        <f t="shared" si="15"/>
        <v>0</v>
      </c>
      <c r="AJ60" s="35">
        <f t="shared" si="15"/>
        <v>0</v>
      </c>
      <c r="AK60" s="35">
        <f t="shared" si="15"/>
        <v>0</v>
      </c>
      <c r="AL60" s="35">
        <f t="shared" si="15"/>
        <v>0</v>
      </c>
      <c r="AM60" s="35">
        <f t="shared" si="15"/>
        <v>0</v>
      </c>
      <c r="AN60" s="35">
        <f t="shared" si="15"/>
        <v>33</v>
      </c>
      <c r="AO60" s="35">
        <f t="shared" si="15"/>
        <v>68</v>
      </c>
      <c r="AP60" s="35">
        <f t="shared" si="15"/>
        <v>60</v>
      </c>
      <c r="AQ60" s="35">
        <f t="shared" si="15"/>
        <v>0</v>
      </c>
      <c r="AR60" s="35">
        <f t="shared" si="15"/>
        <v>0</v>
      </c>
      <c r="AS60" s="35">
        <f t="shared" si="15"/>
        <v>0</v>
      </c>
      <c r="AT60" s="35">
        <f t="shared" si="15"/>
        <v>0</v>
      </c>
    </row>
    <row r="61" spans="1:46" x14ac:dyDescent="0.25">
      <c r="A61" t="s">
        <v>295</v>
      </c>
      <c r="B61" s="9" t="s">
        <v>294</v>
      </c>
    </row>
    <row r="62" spans="1:46" x14ac:dyDescent="0.25">
      <c r="A62" t="s">
        <v>296</v>
      </c>
      <c r="B62" s="8" t="s">
        <v>22</v>
      </c>
      <c r="C62" s="12">
        <v>3</v>
      </c>
      <c r="D62" s="12">
        <v>3</v>
      </c>
      <c r="E62" s="12">
        <v>1</v>
      </c>
      <c r="F62" s="12">
        <v>3</v>
      </c>
      <c r="G62" s="12">
        <v>0</v>
      </c>
      <c r="H62" s="12">
        <v>2</v>
      </c>
      <c r="I62" s="12">
        <v>0</v>
      </c>
      <c r="J62" s="12">
        <v>2</v>
      </c>
      <c r="K62" s="12">
        <v>0</v>
      </c>
      <c r="L62" s="12">
        <v>2</v>
      </c>
      <c r="M62" s="12">
        <v>2</v>
      </c>
      <c r="N62" s="12">
        <v>2</v>
      </c>
      <c r="O62" s="12">
        <v>2</v>
      </c>
      <c r="P62" s="12">
        <v>0</v>
      </c>
      <c r="Q62" s="12">
        <v>2</v>
      </c>
      <c r="R62" s="12">
        <v>2</v>
      </c>
      <c r="S62" s="12">
        <v>0</v>
      </c>
      <c r="T62" s="12">
        <v>2</v>
      </c>
      <c r="U62" s="12">
        <v>3</v>
      </c>
      <c r="V62" s="12">
        <v>3</v>
      </c>
      <c r="W62" s="12">
        <v>0</v>
      </c>
      <c r="X62" s="12">
        <v>1</v>
      </c>
      <c r="Y62" s="12">
        <v>2</v>
      </c>
      <c r="Z62" s="12">
        <v>3</v>
      </c>
      <c r="AA62" s="12">
        <v>2</v>
      </c>
      <c r="AB62" s="12">
        <v>1</v>
      </c>
      <c r="AC62" s="12">
        <v>2</v>
      </c>
      <c r="AD62" s="12">
        <v>2</v>
      </c>
      <c r="AE62" s="12">
        <v>2</v>
      </c>
      <c r="AF62" s="12">
        <v>0</v>
      </c>
      <c r="AG62" s="35">
        <v>2</v>
      </c>
      <c r="AH62" s="35">
        <v>0</v>
      </c>
      <c r="AI62" s="35">
        <v>2</v>
      </c>
      <c r="AJ62" s="35">
        <v>2</v>
      </c>
      <c r="AK62" s="35">
        <v>0</v>
      </c>
      <c r="AL62" s="35">
        <v>2</v>
      </c>
      <c r="AM62" s="35">
        <v>2</v>
      </c>
      <c r="AN62" s="35">
        <v>0</v>
      </c>
      <c r="AO62" s="35">
        <v>2</v>
      </c>
      <c r="AP62" s="38">
        <v>3</v>
      </c>
    </row>
    <row r="63" spans="1:46" x14ac:dyDescent="0.25">
      <c r="A63" t="s">
        <v>297</v>
      </c>
      <c r="B63" s="9" t="s">
        <v>109</v>
      </c>
      <c r="C63" s="12">
        <f>IF(C62=2,1,0)</f>
        <v>0</v>
      </c>
      <c r="D63" s="12">
        <f t="shared" ref="D63:AT63" si="16">IF(D62=2,1,0)</f>
        <v>0</v>
      </c>
      <c r="E63" s="12">
        <f t="shared" si="16"/>
        <v>0</v>
      </c>
      <c r="F63" s="12">
        <f t="shared" si="16"/>
        <v>0</v>
      </c>
      <c r="G63" s="12">
        <f t="shared" si="16"/>
        <v>0</v>
      </c>
      <c r="H63" s="12">
        <f t="shared" si="16"/>
        <v>1</v>
      </c>
      <c r="I63" s="12">
        <f t="shared" si="16"/>
        <v>0</v>
      </c>
      <c r="J63" s="12">
        <f t="shared" si="16"/>
        <v>1</v>
      </c>
      <c r="K63" s="12">
        <f t="shared" si="16"/>
        <v>0</v>
      </c>
      <c r="L63" s="12">
        <f t="shared" si="16"/>
        <v>1</v>
      </c>
      <c r="M63" s="12">
        <f t="shared" si="16"/>
        <v>1</v>
      </c>
      <c r="N63" s="12">
        <f t="shared" si="16"/>
        <v>1</v>
      </c>
      <c r="O63" s="12">
        <f t="shared" si="16"/>
        <v>1</v>
      </c>
      <c r="P63" s="12">
        <f t="shared" si="16"/>
        <v>0</v>
      </c>
      <c r="Q63" s="12">
        <f t="shared" si="16"/>
        <v>1</v>
      </c>
      <c r="R63" s="12">
        <f t="shared" si="16"/>
        <v>1</v>
      </c>
      <c r="S63" s="12">
        <f t="shared" si="16"/>
        <v>0</v>
      </c>
      <c r="T63" s="12">
        <f t="shared" si="16"/>
        <v>1</v>
      </c>
      <c r="U63" s="12">
        <f t="shared" si="16"/>
        <v>0</v>
      </c>
      <c r="V63" s="12">
        <f t="shared" si="16"/>
        <v>0</v>
      </c>
      <c r="W63" s="12">
        <f t="shared" si="16"/>
        <v>0</v>
      </c>
      <c r="X63" s="12">
        <f t="shared" si="16"/>
        <v>0</v>
      </c>
      <c r="Y63" s="12">
        <f t="shared" si="16"/>
        <v>1</v>
      </c>
      <c r="Z63" s="12">
        <f t="shared" si="16"/>
        <v>0</v>
      </c>
      <c r="AA63" s="12">
        <f t="shared" si="16"/>
        <v>1</v>
      </c>
      <c r="AB63" s="12">
        <f t="shared" si="16"/>
        <v>0</v>
      </c>
      <c r="AC63" s="12">
        <f t="shared" si="16"/>
        <v>1</v>
      </c>
      <c r="AD63" s="12">
        <f t="shared" si="16"/>
        <v>1</v>
      </c>
      <c r="AE63" s="12">
        <f t="shared" si="16"/>
        <v>1</v>
      </c>
      <c r="AF63" s="12">
        <f t="shared" si="16"/>
        <v>0</v>
      </c>
      <c r="AG63" s="35">
        <f t="shared" si="16"/>
        <v>1</v>
      </c>
      <c r="AH63" s="35">
        <f t="shared" si="16"/>
        <v>0</v>
      </c>
      <c r="AI63" s="35">
        <f t="shared" si="16"/>
        <v>1</v>
      </c>
      <c r="AJ63" s="35">
        <f t="shared" si="16"/>
        <v>1</v>
      </c>
      <c r="AK63" s="35">
        <f t="shared" si="16"/>
        <v>0</v>
      </c>
      <c r="AL63" s="35">
        <f t="shared" si="16"/>
        <v>1</v>
      </c>
      <c r="AM63" s="35">
        <f t="shared" si="16"/>
        <v>1</v>
      </c>
      <c r="AN63" s="35">
        <f t="shared" si="16"/>
        <v>0</v>
      </c>
      <c r="AO63" s="35">
        <f t="shared" si="16"/>
        <v>1</v>
      </c>
      <c r="AP63" s="35">
        <f t="shared" si="16"/>
        <v>0</v>
      </c>
      <c r="AQ63" s="35">
        <f t="shared" si="16"/>
        <v>0</v>
      </c>
      <c r="AR63" s="35">
        <f t="shared" si="16"/>
        <v>0</v>
      </c>
      <c r="AS63" s="35">
        <f t="shared" si="16"/>
        <v>0</v>
      </c>
      <c r="AT63" s="35">
        <f t="shared" si="16"/>
        <v>0</v>
      </c>
    </row>
    <row r="64" spans="1:46" x14ac:dyDescent="0.25">
      <c r="A64" t="s">
        <v>298</v>
      </c>
      <c r="B64" s="9" t="s">
        <v>158</v>
      </c>
      <c r="C64" s="12">
        <v>32</v>
      </c>
      <c r="D64" s="12">
        <v>10</v>
      </c>
      <c r="E64" s="12">
        <v>3</v>
      </c>
      <c r="F64" s="12">
        <v>854</v>
      </c>
      <c r="G64" s="12">
        <v>148</v>
      </c>
      <c r="H64" s="12">
        <v>350</v>
      </c>
      <c r="I64" s="12">
        <v>337</v>
      </c>
      <c r="J64" s="12">
        <v>141</v>
      </c>
      <c r="K64" s="12">
        <v>93</v>
      </c>
      <c r="L64" s="12">
        <v>81</v>
      </c>
      <c r="M64" s="12">
        <v>63</v>
      </c>
      <c r="N64" s="12">
        <v>130</v>
      </c>
      <c r="O64" s="12">
        <v>2</v>
      </c>
      <c r="P64" s="12">
        <v>92</v>
      </c>
      <c r="Q64" s="12">
        <v>109</v>
      </c>
      <c r="R64" s="12">
        <v>87</v>
      </c>
      <c r="S64" s="12">
        <v>64</v>
      </c>
      <c r="T64" s="12">
        <v>56</v>
      </c>
      <c r="U64" s="12">
        <v>18</v>
      </c>
      <c r="V64" s="12">
        <v>25</v>
      </c>
      <c r="W64" s="12">
        <v>25</v>
      </c>
      <c r="X64" s="12">
        <v>231</v>
      </c>
      <c r="Y64" s="12">
        <v>203</v>
      </c>
      <c r="Z64" s="12">
        <v>30</v>
      </c>
      <c r="AA64" s="12">
        <v>219</v>
      </c>
      <c r="AB64" s="12">
        <v>19</v>
      </c>
      <c r="AC64" s="12">
        <v>81</v>
      </c>
      <c r="AD64" s="12">
        <v>58</v>
      </c>
      <c r="AE64" s="12">
        <v>184</v>
      </c>
      <c r="AF64" s="12">
        <v>94</v>
      </c>
      <c r="AN64" s="35">
        <v>115</v>
      </c>
      <c r="AO64" s="35">
        <v>234</v>
      </c>
      <c r="AP64" s="38">
        <v>79</v>
      </c>
    </row>
    <row r="65" spans="1:46" x14ac:dyDescent="0.25">
      <c r="A65" t="s">
        <v>299</v>
      </c>
      <c r="B65" s="9" t="s">
        <v>159</v>
      </c>
      <c r="C65" s="12">
        <f>C22+C25+C28+C31+C34+C37+C40+C43+C46+C49+C52+C55+C58+C63</f>
        <v>6</v>
      </c>
      <c r="D65" s="12">
        <f t="shared" ref="D65:AG65" si="17">D22+D25+D28+D31+D34+D37+D40+D43+D46+D49+D52+D55+D58+D63</f>
        <v>8</v>
      </c>
      <c r="E65" s="12">
        <f t="shared" si="17"/>
        <v>7</v>
      </c>
      <c r="F65" s="12">
        <f t="shared" si="17"/>
        <v>5</v>
      </c>
      <c r="G65" s="12">
        <f t="shared" si="17"/>
        <v>12</v>
      </c>
      <c r="H65" s="12">
        <f t="shared" si="17"/>
        <v>11</v>
      </c>
      <c r="I65" s="12">
        <f t="shared" si="17"/>
        <v>10</v>
      </c>
      <c r="J65" s="12">
        <f t="shared" si="17"/>
        <v>8</v>
      </c>
      <c r="K65" s="12">
        <f t="shared" si="17"/>
        <v>12</v>
      </c>
      <c r="L65" s="12">
        <f t="shared" si="17"/>
        <v>14</v>
      </c>
      <c r="M65" s="12">
        <f t="shared" si="17"/>
        <v>12</v>
      </c>
      <c r="N65" s="12">
        <f t="shared" si="17"/>
        <v>11</v>
      </c>
      <c r="O65" s="12">
        <f t="shared" si="17"/>
        <v>14</v>
      </c>
      <c r="P65" s="12">
        <f t="shared" si="17"/>
        <v>5</v>
      </c>
      <c r="Q65" s="12">
        <f t="shared" si="17"/>
        <v>12</v>
      </c>
      <c r="R65" s="12">
        <f t="shared" si="17"/>
        <v>10</v>
      </c>
      <c r="S65" s="12">
        <f t="shared" si="17"/>
        <v>9</v>
      </c>
      <c r="T65" s="12">
        <f t="shared" si="17"/>
        <v>14</v>
      </c>
      <c r="U65" s="12">
        <f t="shared" si="17"/>
        <v>11</v>
      </c>
      <c r="V65" s="12">
        <f t="shared" si="17"/>
        <v>7</v>
      </c>
      <c r="W65" s="12">
        <f t="shared" si="17"/>
        <v>8</v>
      </c>
      <c r="X65" s="12">
        <f t="shared" si="17"/>
        <v>8</v>
      </c>
      <c r="Y65" s="12">
        <f t="shared" si="17"/>
        <v>12</v>
      </c>
      <c r="Z65" s="12">
        <f t="shared" si="17"/>
        <v>8</v>
      </c>
      <c r="AA65" s="12">
        <f t="shared" si="17"/>
        <v>11</v>
      </c>
      <c r="AB65" s="12">
        <f t="shared" si="17"/>
        <v>7</v>
      </c>
      <c r="AC65" s="12">
        <f t="shared" si="17"/>
        <v>7</v>
      </c>
      <c r="AD65" s="12">
        <f t="shared" si="17"/>
        <v>13</v>
      </c>
      <c r="AE65" s="12">
        <f t="shared" si="17"/>
        <v>9</v>
      </c>
      <c r="AF65" s="12">
        <f t="shared" si="17"/>
        <v>10</v>
      </c>
      <c r="AG65" s="35">
        <f t="shared" si="17"/>
        <v>11</v>
      </c>
      <c r="AH65" s="35">
        <f t="shared" ref="AH65:AM65" si="18">AH22+AH25+AH28+AH31+AH34+AH37+AH40+AH43+AH46+AH49+AH52+AH55+AH58+AH63</f>
        <v>11</v>
      </c>
      <c r="AI65" s="35">
        <f t="shared" si="18"/>
        <v>11</v>
      </c>
      <c r="AJ65" s="35">
        <f t="shared" si="18"/>
        <v>13</v>
      </c>
      <c r="AK65" s="35">
        <f t="shared" si="18"/>
        <v>8</v>
      </c>
      <c r="AL65" s="35">
        <f t="shared" si="18"/>
        <v>10</v>
      </c>
      <c r="AM65" s="35">
        <f t="shared" si="18"/>
        <v>10</v>
      </c>
      <c r="AN65" s="35">
        <f t="shared" ref="AN65:AT65" si="19">AN22+AN25+AN28+AN31+AN34+AN37+AN40+AN43+AN46+AN49+AN52+AN55+AN58+AN63</f>
        <v>12</v>
      </c>
      <c r="AO65" s="35">
        <f t="shared" si="19"/>
        <v>12</v>
      </c>
      <c r="AP65" s="35">
        <f t="shared" si="19"/>
        <v>11</v>
      </c>
      <c r="AQ65" s="35">
        <f t="shared" si="19"/>
        <v>3</v>
      </c>
      <c r="AR65" s="35">
        <f t="shared" si="19"/>
        <v>3</v>
      </c>
      <c r="AS65" s="35">
        <f t="shared" si="19"/>
        <v>3</v>
      </c>
      <c r="AT65" s="35">
        <f t="shared" si="19"/>
        <v>3</v>
      </c>
    </row>
    <row r="66" spans="1:46" x14ac:dyDescent="0.25">
      <c r="A66" t="s">
        <v>300</v>
      </c>
      <c r="B66" s="9" t="s">
        <v>160</v>
      </c>
      <c r="C66" s="12">
        <f>C23+C26+C29+C32+C35+C38+C41+C44+C47+C50+C53+C56+C59+C64</f>
        <v>535</v>
      </c>
      <c r="D66" s="12">
        <f t="shared" ref="D66:AG66" si="20">D23+D26+D29+D32+D35+D38+D41+D44+D47+D50+D53+D56+D59+D64</f>
        <v>169</v>
      </c>
      <c r="E66" s="12">
        <f t="shared" si="20"/>
        <v>165</v>
      </c>
      <c r="F66" s="12">
        <f t="shared" si="20"/>
        <v>1926</v>
      </c>
      <c r="G66" s="12">
        <f t="shared" si="20"/>
        <v>519</v>
      </c>
      <c r="H66" s="12">
        <f t="shared" si="20"/>
        <v>935</v>
      </c>
      <c r="I66" s="12">
        <f t="shared" si="20"/>
        <v>1610</v>
      </c>
      <c r="J66" s="12">
        <f t="shared" si="20"/>
        <v>461</v>
      </c>
      <c r="K66" s="12">
        <f t="shared" si="20"/>
        <v>440</v>
      </c>
      <c r="L66" s="12">
        <f t="shared" si="20"/>
        <v>365</v>
      </c>
      <c r="M66" s="12">
        <f t="shared" si="20"/>
        <v>446</v>
      </c>
      <c r="N66" s="12">
        <f t="shared" si="20"/>
        <v>427</v>
      </c>
      <c r="O66" s="12">
        <f t="shared" si="20"/>
        <v>345</v>
      </c>
      <c r="P66" s="12">
        <f t="shared" si="20"/>
        <v>249</v>
      </c>
      <c r="Q66" s="12">
        <f t="shared" si="20"/>
        <v>396</v>
      </c>
      <c r="R66" s="12">
        <f t="shared" si="20"/>
        <v>285</v>
      </c>
      <c r="S66" s="12">
        <f t="shared" si="20"/>
        <v>867</v>
      </c>
      <c r="T66" s="12">
        <f t="shared" si="20"/>
        <v>271</v>
      </c>
      <c r="U66" s="12">
        <f t="shared" si="20"/>
        <v>280</v>
      </c>
      <c r="V66" s="12">
        <f t="shared" si="20"/>
        <v>433</v>
      </c>
      <c r="W66" s="12">
        <f t="shared" si="20"/>
        <v>400</v>
      </c>
      <c r="X66" s="12">
        <f t="shared" si="20"/>
        <v>789</v>
      </c>
      <c r="Y66" s="12">
        <f t="shared" si="20"/>
        <v>843</v>
      </c>
      <c r="Z66" s="12">
        <f t="shared" si="20"/>
        <v>358</v>
      </c>
      <c r="AA66" s="12">
        <f t="shared" si="20"/>
        <v>865</v>
      </c>
      <c r="AB66" s="12">
        <f t="shared" si="20"/>
        <v>380</v>
      </c>
      <c r="AC66" s="12">
        <f t="shared" si="20"/>
        <v>465</v>
      </c>
      <c r="AD66" s="12">
        <f t="shared" si="20"/>
        <v>233</v>
      </c>
      <c r="AE66" s="12">
        <f t="shared" si="20"/>
        <v>742</v>
      </c>
      <c r="AF66" s="12">
        <f t="shared" si="20"/>
        <v>231</v>
      </c>
      <c r="AG66" s="35">
        <f t="shared" si="20"/>
        <v>0</v>
      </c>
      <c r="AH66" s="35">
        <f t="shared" ref="AH66:AM66" si="21">AH23+AH26+AH29+AH32+AH35+AH38+AH41+AH44+AH47+AH50+AH53+AH56+AH59+AH64</f>
        <v>0</v>
      </c>
      <c r="AI66" s="35">
        <f t="shared" si="21"/>
        <v>0</v>
      </c>
      <c r="AJ66" s="35">
        <f t="shared" si="21"/>
        <v>0</v>
      </c>
      <c r="AK66" s="35">
        <f t="shared" si="21"/>
        <v>0</v>
      </c>
      <c r="AL66" s="35">
        <f t="shared" si="21"/>
        <v>0</v>
      </c>
      <c r="AM66" s="35">
        <f t="shared" si="21"/>
        <v>0</v>
      </c>
      <c r="AN66" s="35">
        <f t="shared" ref="AN66:AT66" si="22">AN23+AN26+AN29+AN32+AN35+AN38+AN41+AN44+AN47+AN50+AN53+AN56+AN59+AN64</f>
        <v>366</v>
      </c>
      <c r="AO66" s="35">
        <f t="shared" si="22"/>
        <v>955</v>
      </c>
      <c r="AP66" s="35">
        <f t="shared" si="22"/>
        <v>270</v>
      </c>
      <c r="AQ66" s="35">
        <f t="shared" si="22"/>
        <v>0</v>
      </c>
      <c r="AR66" s="35">
        <f t="shared" si="22"/>
        <v>0</v>
      </c>
      <c r="AS66" s="35">
        <f t="shared" si="22"/>
        <v>0</v>
      </c>
      <c r="AT66" s="35">
        <f t="shared" si="22"/>
        <v>0</v>
      </c>
    </row>
    <row r="67" spans="1:46" x14ac:dyDescent="0.25">
      <c r="B67" s="10" t="s">
        <v>23</v>
      </c>
    </row>
    <row r="68" spans="1:46" x14ac:dyDescent="0.25">
      <c r="B68" s="11" t="s">
        <v>113</v>
      </c>
      <c r="C68" s="16">
        <v>2</v>
      </c>
      <c r="D68" s="12">
        <v>0</v>
      </c>
      <c r="E68" s="12">
        <v>4</v>
      </c>
      <c r="F68" s="12">
        <v>4</v>
      </c>
      <c r="G68" s="12">
        <v>4</v>
      </c>
      <c r="H68" s="12">
        <v>4</v>
      </c>
      <c r="I68" s="12">
        <v>4</v>
      </c>
      <c r="J68" s="12">
        <v>4</v>
      </c>
      <c r="K68" s="12">
        <v>4</v>
      </c>
      <c r="L68" s="12">
        <v>4</v>
      </c>
      <c r="M68" s="12">
        <v>4</v>
      </c>
      <c r="N68" s="12">
        <v>4</v>
      </c>
      <c r="O68" s="12">
        <v>2</v>
      </c>
      <c r="P68" s="12">
        <v>4</v>
      </c>
      <c r="Q68" s="12">
        <v>4</v>
      </c>
      <c r="R68" s="12">
        <v>3</v>
      </c>
      <c r="S68" s="12">
        <v>3</v>
      </c>
      <c r="T68" s="12">
        <v>0</v>
      </c>
      <c r="U68" s="12">
        <v>4</v>
      </c>
      <c r="V68" s="12">
        <v>3</v>
      </c>
      <c r="W68" s="12">
        <v>3</v>
      </c>
      <c r="X68" s="12">
        <v>4</v>
      </c>
      <c r="Y68" s="12">
        <v>4</v>
      </c>
      <c r="Z68" s="12">
        <v>3</v>
      </c>
      <c r="AA68" s="12">
        <v>4</v>
      </c>
      <c r="AB68" s="12">
        <v>4</v>
      </c>
      <c r="AC68" s="12">
        <v>2</v>
      </c>
      <c r="AD68" s="12">
        <v>3</v>
      </c>
      <c r="AE68" s="12">
        <v>4</v>
      </c>
      <c r="AF68" s="12">
        <v>3</v>
      </c>
      <c r="AG68" s="35">
        <v>4</v>
      </c>
      <c r="AH68" s="35">
        <v>4</v>
      </c>
      <c r="AI68" s="35">
        <v>2</v>
      </c>
      <c r="AJ68" s="35">
        <v>4</v>
      </c>
      <c r="AK68" s="35">
        <v>3</v>
      </c>
      <c r="AL68" s="35">
        <v>4</v>
      </c>
      <c r="AM68" s="35">
        <v>3</v>
      </c>
      <c r="AN68" s="35">
        <v>4</v>
      </c>
      <c r="AO68" s="35">
        <v>4</v>
      </c>
      <c r="AP68" s="38">
        <v>2</v>
      </c>
    </row>
    <row r="69" spans="1:46" x14ac:dyDescent="0.25">
      <c r="B69" s="11" t="s">
        <v>114</v>
      </c>
      <c r="C69" s="16">
        <v>2</v>
      </c>
      <c r="D69" s="12">
        <v>0</v>
      </c>
      <c r="E69" s="12">
        <v>3</v>
      </c>
      <c r="F69" s="12">
        <v>4</v>
      </c>
      <c r="G69" s="12">
        <v>3</v>
      </c>
      <c r="H69" s="12">
        <v>3</v>
      </c>
      <c r="I69" s="12">
        <v>4</v>
      </c>
      <c r="J69" s="12">
        <v>3</v>
      </c>
      <c r="K69" s="12">
        <v>4</v>
      </c>
      <c r="L69" s="12">
        <v>4</v>
      </c>
      <c r="M69" s="12">
        <v>4</v>
      </c>
      <c r="N69" s="12">
        <v>4</v>
      </c>
      <c r="O69" s="12">
        <v>3</v>
      </c>
      <c r="P69" s="12">
        <v>2</v>
      </c>
      <c r="Q69" s="12">
        <v>4</v>
      </c>
      <c r="R69" s="12">
        <v>3</v>
      </c>
      <c r="S69" s="12">
        <v>3</v>
      </c>
      <c r="T69" s="12">
        <v>3</v>
      </c>
      <c r="U69" s="12">
        <v>4</v>
      </c>
      <c r="V69" s="12">
        <v>1</v>
      </c>
      <c r="W69" s="12">
        <v>2</v>
      </c>
      <c r="X69" s="12">
        <v>3</v>
      </c>
      <c r="Y69" s="12">
        <v>3</v>
      </c>
      <c r="Z69" s="12">
        <v>2</v>
      </c>
      <c r="AA69" s="12">
        <v>4</v>
      </c>
      <c r="AB69" s="12">
        <v>2</v>
      </c>
      <c r="AC69" s="12">
        <v>1</v>
      </c>
      <c r="AD69" s="12">
        <v>4</v>
      </c>
      <c r="AE69" s="12">
        <v>4</v>
      </c>
      <c r="AF69" s="12">
        <v>3</v>
      </c>
      <c r="AG69" s="35">
        <v>3</v>
      </c>
      <c r="AH69" s="35">
        <v>2</v>
      </c>
      <c r="AI69" s="35">
        <v>1</v>
      </c>
      <c r="AJ69" s="35">
        <v>3</v>
      </c>
      <c r="AK69" s="35">
        <v>2</v>
      </c>
      <c r="AL69" s="35">
        <v>3</v>
      </c>
      <c r="AM69" s="35">
        <v>4</v>
      </c>
      <c r="AN69" s="35">
        <v>3</v>
      </c>
      <c r="AO69" s="35">
        <v>3</v>
      </c>
      <c r="AP69" s="38">
        <v>1</v>
      </c>
    </row>
    <row r="70" spans="1:46" x14ac:dyDescent="0.25">
      <c r="B70" s="11" t="s">
        <v>115</v>
      </c>
      <c r="C70" s="16">
        <v>3</v>
      </c>
      <c r="D70" s="12">
        <v>0</v>
      </c>
      <c r="E70" s="12">
        <v>3</v>
      </c>
      <c r="F70" s="12">
        <v>4</v>
      </c>
      <c r="G70" s="12">
        <v>4</v>
      </c>
      <c r="H70" s="12">
        <v>3</v>
      </c>
      <c r="I70" s="12">
        <v>4</v>
      </c>
      <c r="J70" s="12">
        <v>3</v>
      </c>
      <c r="K70" s="12">
        <v>4</v>
      </c>
      <c r="L70" s="12">
        <v>3</v>
      </c>
      <c r="M70" s="12">
        <v>4</v>
      </c>
      <c r="N70" s="12">
        <v>4</v>
      </c>
      <c r="O70" s="12">
        <v>3</v>
      </c>
      <c r="P70" s="12">
        <v>2</v>
      </c>
      <c r="Q70" s="12">
        <v>4</v>
      </c>
      <c r="R70" s="12">
        <v>1</v>
      </c>
      <c r="S70" s="12">
        <v>2</v>
      </c>
      <c r="T70" s="12">
        <v>2</v>
      </c>
      <c r="U70" s="12">
        <v>4</v>
      </c>
      <c r="V70" s="12">
        <v>1</v>
      </c>
      <c r="W70" s="12">
        <v>4</v>
      </c>
      <c r="X70" s="12">
        <v>3</v>
      </c>
      <c r="Y70" s="12">
        <v>3</v>
      </c>
      <c r="Z70" s="12">
        <v>2</v>
      </c>
      <c r="AA70" s="12">
        <v>3</v>
      </c>
      <c r="AB70" s="12">
        <v>1</v>
      </c>
      <c r="AC70" s="12">
        <v>2</v>
      </c>
      <c r="AD70" s="12">
        <v>4</v>
      </c>
      <c r="AE70" s="12">
        <v>4</v>
      </c>
      <c r="AF70" s="12">
        <v>3</v>
      </c>
      <c r="AG70" s="35">
        <v>2</v>
      </c>
      <c r="AH70" s="35">
        <v>1</v>
      </c>
      <c r="AI70" s="35">
        <v>2</v>
      </c>
      <c r="AJ70" s="35">
        <v>3</v>
      </c>
      <c r="AK70" s="35">
        <v>4</v>
      </c>
      <c r="AL70" s="35">
        <v>3</v>
      </c>
      <c r="AM70" s="35">
        <v>4</v>
      </c>
      <c r="AN70" s="35">
        <v>3</v>
      </c>
      <c r="AO70" s="35">
        <v>3</v>
      </c>
      <c r="AP70" s="38">
        <v>1</v>
      </c>
    </row>
    <row r="71" spans="1:46" x14ac:dyDescent="0.25">
      <c r="B71" s="11" t="s">
        <v>116</v>
      </c>
      <c r="C71" s="16">
        <v>3</v>
      </c>
      <c r="D71" s="12">
        <v>0</v>
      </c>
      <c r="E71" s="12">
        <v>3</v>
      </c>
      <c r="F71" s="12">
        <v>4</v>
      </c>
      <c r="G71" s="12">
        <v>4</v>
      </c>
      <c r="H71" s="12">
        <v>3</v>
      </c>
      <c r="I71" s="12">
        <v>4</v>
      </c>
      <c r="J71" s="12">
        <v>3</v>
      </c>
      <c r="K71" s="12">
        <v>4</v>
      </c>
      <c r="L71" s="12">
        <v>4</v>
      </c>
      <c r="M71" s="12">
        <v>4</v>
      </c>
      <c r="N71" s="12">
        <v>4</v>
      </c>
      <c r="O71" s="12">
        <v>3</v>
      </c>
      <c r="P71" s="12">
        <v>3</v>
      </c>
      <c r="Q71" s="12">
        <v>4</v>
      </c>
      <c r="R71" s="12">
        <v>3</v>
      </c>
      <c r="S71" s="12">
        <v>3</v>
      </c>
      <c r="T71" s="12">
        <v>4</v>
      </c>
      <c r="U71" s="12">
        <v>4</v>
      </c>
      <c r="V71" s="12">
        <v>1</v>
      </c>
      <c r="W71" s="12">
        <v>3</v>
      </c>
      <c r="X71" s="12">
        <v>2</v>
      </c>
      <c r="Y71" s="12">
        <v>3</v>
      </c>
      <c r="Z71" s="12">
        <v>4</v>
      </c>
      <c r="AA71" s="12">
        <v>4</v>
      </c>
      <c r="AB71" s="12">
        <v>2</v>
      </c>
      <c r="AC71" s="12">
        <v>2</v>
      </c>
      <c r="AD71" s="12">
        <v>4</v>
      </c>
      <c r="AE71" s="12">
        <v>4</v>
      </c>
      <c r="AF71" s="12">
        <v>3</v>
      </c>
      <c r="AG71" s="35">
        <v>3</v>
      </c>
      <c r="AH71" s="35">
        <v>2</v>
      </c>
      <c r="AI71" s="35">
        <v>2</v>
      </c>
      <c r="AJ71" s="35">
        <v>3</v>
      </c>
      <c r="AK71" s="35">
        <v>3</v>
      </c>
      <c r="AL71" s="35">
        <v>4</v>
      </c>
      <c r="AM71" s="35">
        <v>4</v>
      </c>
      <c r="AN71" s="35">
        <v>4</v>
      </c>
      <c r="AO71" s="35">
        <v>4</v>
      </c>
      <c r="AP71" s="38">
        <v>2</v>
      </c>
    </row>
    <row r="72" spans="1:46" x14ac:dyDescent="0.25">
      <c r="B72" s="11" t="s">
        <v>117</v>
      </c>
      <c r="C72" s="16">
        <v>2</v>
      </c>
      <c r="D72" s="12">
        <v>4</v>
      </c>
      <c r="E72" s="12">
        <v>3</v>
      </c>
      <c r="F72" s="12">
        <v>4</v>
      </c>
      <c r="G72" s="12">
        <v>4</v>
      </c>
      <c r="H72" s="12">
        <v>4</v>
      </c>
      <c r="I72" s="12">
        <v>4</v>
      </c>
      <c r="J72" s="12">
        <v>3</v>
      </c>
      <c r="K72" s="12">
        <v>4</v>
      </c>
      <c r="L72" s="12">
        <v>4</v>
      </c>
      <c r="M72" s="12">
        <v>4</v>
      </c>
      <c r="N72" s="12">
        <v>4</v>
      </c>
      <c r="O72" s="12">
        <v>3</v>
      </c>
      <c r="P72" s="12">
        <v>4</v>
      </c>
      <c r="Q72" s="12">
        <v>4</v>
      </c>
      <c r="R72" s="12">
        <v>4</v>
      </c>
      <c r="S72" s="12">
        <v>4</v>
      </c>
      <c r="T72" s="12">
        <v>3</v>
      </c>
      <c r="U72" s="12">
        <v>4</v>
      </c>
      <c r="V72" s="12">
        <v>3</v>
      </c>
      <c r="W72" s="12">
        <v>3</v>
      </c>
      <c r="X72" s="12">
        <v>3</v>
      </c>
      <c r="Y72" s="12">
        <v>4</v>
      </c>
      <c r="Z72" s="12">
        <v>4</v>
      </c>
      <c r="AA72" s="12">
        <v>4</v>
      </c>
      <c r="AB72" s="12">
        <v>4</v>
      </c>
      <c r="AC72" s="12">
        <v>3</v>
      </c>
      <c r="AD72" s="12">
        <v>4</v>
      </c>
      <c r="AE72" s="12">
        <v>3</v>
      </c>
      <c r="AF72" s="12">
        <v>3</v>
      </c>
      <c r="AG72" s="35">
        <v>4</v>
      </c>
      <c r="AH72" s="35">
        <v>3</v>
      </c>
      <c r="AI72" s="35">
        <v>3</v>
      </c>
      <c r="AJ72" s="35">
        <v>4</v>
      </c>
      <c r="AK72" s="35">
        <v>3</v>
      </c>
      <c r="AL72" s="35">
        <v>4</v>
      </c>
      <c r="AM72" s="35">
        <v>4</v>
      </c>
      <c r="AN72" s="35">
        <v>4</v>
      </c>
      <c r="AO72" s="35">
        <v>4</v>
      </c>
      <c r="AP72" s="38">
        <v>2</v>
      </c>
    </row>
    <row r="73" spans="1:46" x14ac:dyDescent="0.25">
      <c r="B73" s="11" t="s">
        <v>118</v>
      </c>
      <c r="C73" s="16">
        <v>3</v>
      </c>
      <c r="D73" s="12">
        <v>4</v>
      </c>
      <c r="E73" s="12">
        <v>3</v>
      </c>
      <c r="F73" s="12">
        <v>4</v>
      </c>
      <c r="G73" s="12">
        <v>3</v>
      </c>
      <c r="H73" s="12">
        <v>4</v>
      </c>
      <c r="I73" s="12">
        <v>4</v>
      </c>
      <c r="J73" s="12">
        <v>2</v>
      </c>
      <c r="K73" s="12">
        <v>4</v>
      </c>
      <c r="L73" s="12">
        <v>3</v>
      </c>
      <c r="M73" s="12">
        <v>4</v>
      </c>
      <c r="N73" s="12">
        <v>4</v>
      </c>
      <c r="O73" s="12">
        <v>2</v>
      </c>
      <c r="P73" s="12">
        <v>4</v>
      </c>
      <c r="Q73" s="12">
        <v>4</v>
      </c>
      <c r="R73" s="12">
        <v>4</v>
      </c>
      <c r="S73" s="12">
        <v>3</v>
      </c>
      <c r="T73" s="12">
        <v>2</v>
      </c>
      <c r="U73" s="12">
        <v>4</v>
      </c>
      <c r="V73" s="12">
        <v>3</v>
      </c>
      <c r="W73" s="12">
        <v>4</v>
      </c>
      <c r="X73" s="12">
        <v>3</v>
      </c>
      <c r="Y73" s="12">
        <v>4</v>
      </c>
      <c r="Z73" s="12">
        <v>3</v>
      </c>
      <c r="AA73" s="12">
        <v>4</v>
      </c>
      <c r="AB73" s="12">
        <v>4</v>
      </c>
      <c r="AC73" s="12">
        <v>3</v>
      </c>
      <c r="AD73" s="12">
        <v>3</v>
      </c>
      <c r="AE73" s="12">
        <v>4</v>
      </c>
      <c r="AF73" s="12">
        <v>3</v>
      </c>
      <c r="AG73" s="35">
        <v>3</v>
      </c>
      <c r="AH73" s="35">
        <v>3</v>
      </c>
      <c r="AI73" s="35">
        <v>3</v>
      </c>
      <c r="AJ73" s="35">
        <v>4</v>
      </c>
      <c r="AK73" s="35">
        <v>4</v>
      </c>
      <c r="AL73" s="35">
        <v>4</v>
      </c>
      <c r="AM73" s="35">
        <v>4</v>
      </c>
      <c r="AN73" s="35">
        <v>4</v>
      </c>
      <c r="AO73" s="35">
        <v>4</v>
      </c>
      <c r="AP73" s="38">
        <v>3</v>
      </c>
    </row>
    <row r="74" spans="1:46" x14ac:dyDescent="0.25">
      <c r="B74" s="11" t="s">
        <v>119</v>
      </c>
      <c r="C74" s="16">
        <v>3</v>
      </c>
      <c r="D74" s="12">
        <v>4</v>
      </c>
      <c r="E74" s="12">
        <v>3</v>
      </c>
      <c r="F74" s="12">
        <v>4</v>
      </c>
      <c r="G74" s="12">
        <v>4</v>
      </c>
      <c r="H74" s="12">
        <v>3</v>
      </c>
      <c r="I74" s="12">
        <v>4</v>
      </c>
      <c r="J74" s="12">
        <v>4</v>
      </c>
      <c r="K74" s="12">
        <v>4</v>
      </c>
      <c r="L74" s="12">
        <v>3</v>
      </c>
      <c r="M74" s="12">
        <v>4</v>
      </c>
      <c r="N74" s="12">
        <v>4</v>
      </c>
      <c r="O74" s="12">
        <v>3</v>
      </c>
      <c r="P74" s="12">
        <v>4</v>
      </c>
      <c r="Q74" s="12">
        <v>3</v>
      </c>
      <c r="R74" s="12">
        <v>4</v>
      </c>
      <c r="S74" s="12">
        <v>3</v>
      </c>
      <c r="T74" s="12">
        <v>2</v>
      </c>
      <c r="U74" s="12">
        <v>4</v>
      </c>
      <c r="V74" s="12">
        <v>3</v>
      </c>
      <c r="W74" s="12">
        <v>4</v>
      </c>
      <c r="X74" s="12">
        <v>3</v>
      </c>
      <c r="Y74" s="12">
        <v>4</v>
      </c>
      <c r="Z74" s="12">
        <v>1</v>
      </c>
      <c r="AA74" s="12">
        <v>4</v>
      </c>
      <c r="AB74" s="12">
        <v>4</v>
      </c>
      <c r="AC74" s="12">
        <v>2</v>
      </c>
      <c r="AD74" s="12">
        <v>4</v>
      </c>
      <c r="AE74" s="12">
        <v>4</v>
      </c>
      <c r="AF74" s="12">
        <v>3</v>
      </c>
      <c r="AG74" s="35">
        <v>4</v>
      </c>
      <c r="AH74" s="35">
        <v>3</v>
      </c>
      <c r="AI74" s="35">
        <v>3</v>
      </c>
      <c r="AJ74" s="35">
        <v>4</v>
      </c>
      <c r="AK74" s="35">
        <v>4</v>
      </c>
      <c r="AL74" s="35">
        <v>4</v>
      </c>
      <c r="AM74" s="35">
        <v>4</v>
      </c>
      <c r="AN74" s="35">
        <v>4</v>
      </c>
      <c r="AO74" s="35">
        <v>4</v>
      </c>
      <c r="AP74" s="38">
        <v>3</v>
      </c>
    </row>
    <row r="75" spans="1:46" x14ac:dyDescent="0.25">
      <c r="B75" s="11" t="s">
        <v>120</v>
      </c>
      <c r="C75" s="16">
        <v>2</v>
      </c>
      <c r="D75" s="12">
        <v>4</v>
      </c>
      <c r="E75" s="12">
        <v>3</v>
      </c>
      <c r="F75" s="12">
        <v>4</v>
      </c>
      <c r="G75" s="12">
        <v>4</v>
      </c>
      <c r="H75" s="12">
        <v>3</v>
      </c>
      <c r="I75" s="12">
        <v>4</v>
      </c>
      <c r="J75" s="12">
        <v>3</v>
      </c>
      <c r="K75" s="12">
        <v>3</v>
      </c>
      <c r="L75" s="12">
        <v>3</v>
      </c>
      <c r="M75" s="12">
        <v>4</v>
      </c>
      <c r="N75" s="12">
        <v>4</v>
      </c>
      <c r="O75" s="12">
        <v>3</v>
      </c>
      <c r="P75" s="12">
        <v>4</v>
      </c>
      <c r="Q75" s="12">
        <v>4</v>
      </c>
      <c r="R75" s="12">
        <v>4</v>
      </c>
      <c r="S75" s="12">
        <v>4</v>
      </c>
      <c r="T75" s="12">
        <v>2</v>
      </c>
      <c r="U75" s="12">
        <v>4</v>
      </c>
      <c r="V75" s="12">
        <v>3</v>
      </c>
      <c r="W75" s="12">
        <v>1</v>
      </c>
      <c r="X75" s="12">
        <v>2</v>
      </c>
      <c r="Y75" s="12">
        <v>3</v>
      </c>
      <c r="Z75" s="12">
        <v>3</v>
      </c>
      <c r="AA75" s="12">
        <v>4</v>
      </c>
      <c r="AB75" s="12">
        <v>4</v>
      </c>
      <c r="AC75" s="12">
        <v>2</v>
      </c>
      <c r="AD75" s="12">
        <v>3</v>
      </c>
      <c r="AE75" s="12">
        <v>4</v>
      </c>
      <c r="AF75" s="12">
        <v>2</v>
      </c>
      <c r="AG75" s="35">
        <v>3</v>
      </c>
      <c r="AH75" s="35">
        <v>3</v>
      </c>
      <c r="AI75" s="35">
        <v>1</v>
      </c>
      <c r="AJ75" s="35">
        <v>4</v>
      </c>
      <c r="AK75" s="35">
        <v>1</v>
      </c>
      <c r="AL75" s="35">
        <v>4</v>
      </c>
      <c r="AM75" s="35">
        <v>3</v>
      </c>
      <c r="AN75" s="35">
        <v>4</v>
      </c>
      <c r="AO75" s="35">
        <v>4</v>
      </c>
      <c r="AP75" s="38">
        <v>3</v>
      </c>
    </row>
    <row r="76" spans="1:46" x14ac:dyDescent="0.25">
      <c r="B76" s="11" t="s">
        <v>121</v>
      </c>
      <c r="C76" s="16">
        <v>2</v>
      </c>
      <c r="D76" s="12">
        <v>4</v>
      </c>
      <c r="E76" s="12">
        <v>3</v>
      </c>
      <c r="F76" s="12">
        <v>4</v>
      </c>
      <c r="G76" s="12">
        <v>4</v>
      </c>
      <c r="H76" s="12">
        <v>3</v>
      </c>
      <c r="I76" s="12">
        <v>4</v>
      </c>
      <c r="J76" s="12">
        <v>3</v>
      </c>
      <c r="K76" s="12">
        <v>4</v>
      </c>
      <c r="L76" s="12">
        <v>3</v>
      </c>
      <c r="M76" s="12">
        <v>4</v>
      </c>
      <c r="N76" s="12">
        <v>4</v>
      </c>
      <c r="O76" s="12">
        <v>2</v>
      </c>
      <c r="P76" s="12">
        <v>4</v>
      </c>
      <c r="Q76" s="12">
        <v>3</v>
      </c>
      <c r="R76" s="12">
        <v>4</v>
      </c>
      <c r="S76" s="12">
        <v>3</v>
      </c>
      <c r="T76" s="12">
        <v>2</v>
      </c>
      <c r="U76" s="12">
        <v>4</v>
      </c>
      <c r="V76" s="12">
        <v>3</v>
      </c>
      <c r="W76" s="12">
        <v>1</v>
      </c>
      <c r="X76" s="12">
        <v>2</v>
      </c>
      <c r="Y76" s="12">
        <v>4</v>
      </c>
      <c r="Z76" s="12">
        <v>3</v>
      </c>
      <c r="AA76" s="12">
        <v>4</v>
      </c>
      <c r="AB76" s="12">
        <v>4</v>
      </c>
      <c r="AC76" s="12">
        <v>2</v>
      </c>
      <c r="AD76" s="12">
        <v>4</v>
      </c>
      <c r="AE76" s="12">
        <v>4</v>
      </c>
      <c r="AF76" s="12">
        <v>2</v>
      </c>
      <c r="AG76" s="35">
        <v>3</v>
      </c>
      <c r="AH76" s="35">
        <v>3</v>
      </c>
      <c r="AI76" s="35">
        <v>1</v>
      </c>
      <c r="AJ76" s="35">
        <v>4</v>
      </c>
      <c r="AK76" s="35">
        <v>1</v>
      </c>
      <c r="AL76" s="35">
        <v>4</v>
      </c>
      <c r="AM76" s="35">
        <v>3</v>
      </c>
      <c r="AN76" s="35">
        <v>4</v>
      </c>
      <c r="AO76" s="35">
        <v>4</v>
      </c>
      <c r="AP76" s="38">
        <v>3</v>
      </c>
    </row>
    <row r="77" spans="1:46" x14ac:dyDescent="0.25">
      <c r="B77" s="11" t="s">
        <v>122</v>
      </c>
      <c r="C77" s="16">
        <v>3</v>
      </c>
      <c r="D77" s="12">
        <v>4</v>
      </c>
      <c r="E77" s="12">
        <v>3</v>
      </c>
      <c r="F77" s="12">
        <v>3</v>
      </c>
      <c r="G77" s="12">
        <v>4</v>
      </c>
      <c r="H77" s="12">
        <v>4</v>
      </c>
      <c r="I77" s="12">
        <v>4</v>
      </c>
      <c r="J77" s="12">
        <v>4</v>
      </c>
      <c r="K77" s="12">
        <v>4</v>
      </c>
      <c r="L77" s="12">
        <v>4</v>
      </c>
      <c r="M77" s="12">
        <v>4</v>
      </c>
      <c r="N77" s="12">
        <v>4</v>
      </c>
      <c r="O77" s="12">
        <v>3</v>
      </c>
      <c r="P77" s="12">
        <v>3</v>
      </c>
      <c r="Q77" s="12">
        <v>4</v>
      </c>
      <c r="R77" s="12">
        <v>4</v>
      </c>
      <c r="S77" s="12">
        <v>4</v>
      </c>
      <c r="T77" s="12">
        <v>3</v>
      </c>
      <c r="U77" s="12">
        <v>4</v>
      </c>
      <c r="V77" s="12">
        <v>3</v>
      </c>
      <c r="W77" s="12">
        <v>0</v>
      </c>
      <c r="X77" s="12">
        <v>4</v>
      </c>
      <c r="Y77" s="12">
        <v>4</v>
      </c>
      <c r="Z77" s="12">
        <v>4</v>
      </c>
      <c r="AA77" s="12">
        <v>4</v>
      </c>
      <c r="AB77" s="12">
        <v>4</v>
      </c>
      <c r="AC77" s="12">
        <v>3</v>
      </c>
      <c r="AD77" s="12">
        <v>4</v>
      </c>
      <c r="AE77" s="12">
        <v>4</v>
      </c>
      <c r="AF77" s="12">
        <v>3</v>
      </c>
      <c r="AG77" s="35">
        <v>4</v>
      </c>
      <c r="AH77" s="35">
        <v>4</v>
      </c>
      <c r="AI77" s="35">
        <v>4</v>
      </c>
      <c r="AJ77" s="35">
        <v>4</v>
      </c>
      <c r="AK77" s="35">
        <v>0</v>
      </c>
      <c r="AL77" s="35">
        <v>2</v>
      </c>
      <c r="AM77" s="35">
        <v>3</v>
      </c>
      <c r="AN77" s="35">
        <v>4</v>
      </c>
      <c r="AO77" s="35">
        <v>4</v>
      </c>
      <c r="AP77" s="38">
        <v>3</v>
      </c>
    </row>
    <row r="78" spans="1:46" x14ac:dyDescent="0.25">
      <c r="B78" s="11" t="s">
        <v>124</v>
      </c>
      <c r="C78" s="16">
        <v>2</v>
      </c>
      <c r="D78" s="12">
        <v>4</v>
      </c>
      <c r="E78" s="12">
        <v>3</v>
      </c>
      <c r="F78" s="12">
        <v>4</v>
      </c>
      <c r="G78" s="12">
        <v>4</v>
      </c>
      <c r="H78" s="12">
        <v>4</v>
      </c>
      <c r="I78" s="12">
        <v>4</v>
      </c>
      <c r="J78" s="12">
        <v>4</v>
      </c>
      <c r="K78" s="12">
        <v>4</v>
      </c>
      <c r="L78" s="12">
        <v>4</v>
      </c>
      <c r="M78" s="12">
        <v>4</v>
      </c>
      <c r="N78" s="12">
        <v>4</v>
      </c>
      <c r="O78" s="12">
        <v>3</v>
      </c>
      <c r="P78" s="12">
        <v>4</v>
      </c>
      <c r="Q78" s="12">
        <v>4</v>
      </c>
      <c r="R78" s="12">
        <v>4</v>
      </c>
      <c r="S78" s="12">
        <v>3</v>
      </c>
      <c r="T78" s="12">
        <v>4</v>
      </c>
      <c r="U78" s="12">
        <v>4</v>
      </c>
      <c r="V78" s="12">
        <v>3</v>
      </c>
      <c r="W78" s="12">
        <v>4</v>
      </c>
      <c r="X78" s="12">
        <v>4</v>
      </c>
      <c r="Y78" s="12">
        <v>4</v>
      </c>
      <c r="Z78" s="12">
        <v>4</v>
      </c>
      <c r="AA78" s="12">
        <v>4</v>
      </c>
      <c r="AB78" s="12">
        <v>4</v>
      </c>
      <c r="AC78" s="12">
        <v>4</v>
      </c>
      <c r="AD78" s="12">
        <v>4</v>
      </c>
      <c r="AE78" s="12">
        <v>4</v>
      </c>
      <c r="AF78" s="12">
        <v>3</v>
      </c>
      <c r="AG78" s="35">
        <v>4</v>
      </c>
      <c r="AH78" s="35">
        <v>4</v>
      </c>
      <c r="AI78" s="35">
        <v>4</v>
      </c>
      <c r="AJ78" s="35">
        <v>4</v>
      </c>
      <c r="AK78" s="35">
        <v>4</v>
      </c>
      <c r="AL78" s="35">
        <v>4</v>
      </c>
      <c r="AM78" s="35">
        <v>4</v>
      </c>
      <c r="AN78" s="35">
        <v>4</v>
      </c>
      <c r="AO78" s="35">
        <v>4</v>
      </c>
      <c r="AP78" s="38">
        <v>2</v>
      </c>
    </row>
    <row r="79" spans="1:46" x14ac:dyDescent="0.25">
      <c r="B79" s="11" t="s">
        <v>123</v>
      </c>
      <c r="C79" s="16">
        <v>1</v>
      </c>
      <c r="D79" s="12">
        <v>4</v>
      </c>
      <c r="E79" s="12">
        <v>4</v>
      </c>
      <c r="F79" s="12">
        <v>4</v>
      </c>
      <c r="G79" s="12">
        <v>4</v>
      </c>
      <c r="H79" s="12">
        <v>4</v>
      </c>
      <c r="I79" s="12">
        <v>4</v>
      </c>
      <c r="J79" s="12">
        <v>3</v>
      </c>
      <c r="K79" s="12">
        <v>4</v>
      </c>
      <c r="L79" s="12">
        <v>4</v>
      </c>
      <c r="M79" s="12">
        <v>4</v>
      </c>
      <c r="N79" s="12">
        <v>4</v>
      </c>
      <c r="O79" s="12">
        <v>3</v>
      </c>
      <c r="P79" s="12">
        <v>4</v>
      </c>
      <c r="Q79" s="12">
        <v>4</v>
      </c>
      <c r="R79" s="12">
        <v>4</v>
      </c>
      <c r="S79" s="12">
        <v>3</v>
      </c>
      <c r="T79" s="12">
        <v>3</v>
      </c>
      <c r="U79" s="12">
        <v>4</v>
      </c>
      <c r="V79" s="12">
        <v>3</v>
      </c>
      <c r="W79" s="12">
        <v>3</v>
      </c>
      <c r="X79" s="12">
        <v>3</v>
      </c>
      <c r="Y79" s="12">
        <v>4</v>
      </c>
      <c r="Z79" s="12">
        <v>4</v>
      </c>
      <c r="AA79" s="12">
        <v>4</v>
      </c>
      <c r="AB79" s="12">
        <v>3</v>
      </c>
      <c r="AC79" s="12">
        <v>2</v>
      </c>
      <c r="AD79" s="12">
        <v>4</v>
      </c>
      <c r="AE79" s="12">
        <v>4</v>
      </c>
      <c r="AF79" s="12">
        <v>3</v>
      </c>
      <c r="AG79" s="35">
        <v>2</v>
      </c>
      <c r="AH79" s="35">
        <v>4</v>
      </c>
      <c r="AI79" s="35">
        <v>3</v>
      </c>
      <c r="AJ79" s="35">
        <v>4</v>
      </c>
      <c r="AK79" s="35">
        <v>3</v>
      </c>
      <c r="AL79" s="35">
        <v>4</v>
      </c>
      <c r="AM79" s="35">
        <v>4</v>
      </c>
      <c r="AN79" s="35">
        <v>4</v>
      </c>
      <c r="AO79" s="35">
        <v>4</v>
      </c>
      <c r="AP79" s="38">
        <v>3</v>
      </c>
    </row>
    <row r="80" spans="1:46" x14ac:dyDescent="0.25">
      <c r="B80" s="11" t="s">
        <v>125</v>
      </c>
      <c r="C80" s="16">
        <v>2</v>
      </c>
      <c r="D80" s="12">
        <v>4</v>
      </c>
      <c r="E80" s="12">
        <v>4</v>
      </c>
      <c r="F80" s="12">
        <v>4</v>
      </c>
      <c r="G80" s="12">
        <v>4</v>
      </c>
      <c r="H80" s="12">
        <v>3</v>
      </c>
      <c r="I80" s="12">
        <v>4</v>
      </c>
      <c r="J80" s="12">
        <v>3</v>
      </c>
      <c r="K80" s="12">
        <v>4</v>
      </c>
      <c r="L80" s="12">
        <v>4</v>
      </c>
      <c r="M80" s="12">
        <v>4</v>
      </c>
      <c r="N80" s="12">
        <v>4</v>
      </c>
      <c r="O80" s="12">
        <v>3</v>
      </c>
      <c r="P80" s="12">
        <v>4</v>
      </c>
      <c r="Q80" s="12">
        <v>4</v>
      </c>
      <c r="R80" s="12">
        <v>4</v>
      </c>
      <c r="S80" s="12">
        <v>4</v>
      </c>
      <c r="T80" s="12">
        <v>3</v>
      </c>
      <c r="U80" s="12">
        <v>4</v>
      </c>
      <c r="V80" s="12">
        <v>3</v>
      </c>
      <c r="W80" s="12">
        <v>3</v>
      </c>
      <c r="X80" s="12">
        <v>4</v>
      </c>
      <c r="Y80" s="12">
        <v>4</v>
      </c>
      <c r="Z80" s="12">
        <v>4</v>
      </c>
      <c r="AA80" s="12">
        <v>4</v>
      </c>
      <c r="AB80" s="12">
        <v>4</v>
      </c>
      <c r="AC80" s="12">
        <v>3</v>
      </c>
      <c r="AD80" s="12">
        <v>4</v>
      </c>
      <c r="AE80" s="12">
        <v>4</v>
      </c>
      <c r="AF80" s="12">
        <v>3</v>
      </c>
      <c r="AG80" s="35">
        <v>3</v>
      </c>
      <c r="AH80" s="35">
        <v>4</v>
      </c>
      <c r="AI80" s="35">
        <v>3</v>
      </c>
      <c r="AJ80" s="35">
        <v>4</v>
      </c>
      <c r="AK80" s="35">
        <v>3</v>
      </c>
      <c r="AL80" s="35">
        <v>4</v>
      </c>
      <c r="AM80" s="35">
        <v>3</v>
      </c>
      <c r="AN80" s="35">
        <v>4</v>
      </c>
      <c r="AO80" s="35">
        <v>4</v>
      </c>
      <c r="AP80" s="38">
        <v>3</v>
      </c>
    </row>
    <row r="81" spans="2:42" x14ac:dyDescent="0.25">
      <c r="B81" s="11" t="s">
        <v>126</v>
      </c>
      <c r="C81" s="16">
        <v>2</v>
      </c>
      <c r="D81" s="12">
        <v>4</v>
      </c>
      <c r="E81" s="12">
        <v>3</v>
      </c>
      <c r="F81" s="12">
        <v>3</v>
      </c>
      <c r="G81" s="12">
        <v>4</v>
      </c>
      <c r="H81" s="12">
        <v>4</v>
      </c>
      <c r="I81" s="12">
        <v>3</v>
      </c>
      <c r="J81" s="12">
        <v>4</v>
      </c>
      <c r="K81" s="12">
        <v>4</v>
      </c>
      <c r="L81" s="12">
        <v>4</v>
      </c>
      <c r="M81" s="12">
        <v>4</v>
      </c>
      <c r="N81" s="12">
        <v>4</v>
      </c>
      <c r="O81" s="12">
        <v>3</v>
      </c>
      <c r="P81" s="12">
        <v>4</v>
      </c>
      <c r="Q81" s="12">
        <v>4</v>
      </c>
      <c r="R81" s="12">
        <v>4</v>
      </c>
      <c r="S81" s="12">
        <v>3</v>
      </c>
      <c r="T81" s="12">
        <v>2</v>
      </c>
      <c r="U81" s="12">
        <v>4</v>
      </c>
      <c r="V81" s="12">
        <v>3</v>
      </c>
      <c r="W81" s="12">
        <v>2</v>
      </c>
      <c r="X81" s="12">
        <v>2</v>
      </c>
      <c r="Y81" s="12">
        <v>4</v>
      </c>
      <c r="Z81" s="12">
        <v>4</v>
      </c>
      <c r="AA81" s="12">
        <v>4</v>
      </c>
      <c r="AB81" s="12">
        <v>4</v>
      </c>
      <c r="AC81" s="12">
        <v>1</v>
      </c>
      <c r="AD81" s="12">
        <v>2</v>
      </c>
      <c r="AE81" s="12">
        <v>4</v>
      </c>
      <c r="AF81" s="12">
        <v>3</v>
      </c>
      <c r="AG81" s="35">
        <v>1</v>
      </c>
      <c r="AH81" s="35">
        <v>3</v>
      </c>
      <c r="AI81" s="35">
        <v>3</v>
      </c>
      <c r="AJ81" s="35">
        <v>3</v>
      </c>
      <c r="AK81" s="35">
        <v>2</v>
      </c>
      <c r="AL81" s="35">
        <v>3</v>
      </c>
      <c r="AM81" s="35">
        <v>1</v>
      </c>
      <c r="AN81" s="35">
        <v>4</v>
      </c>
      <c r="AO81" s="35">
        <v>4</v>
      </c>
      <c r="AP81" s="38">
        <v>3</v>
      </c>
    </row>
    <row r="82" spans="2:42" x14ac:dyDescent="0.25">
      <c r="B82" s="11" t="s">
        <v>127</v>
      </c>
      <c r="C82" s="16">
        <v>2</v>
      </c>
      <c r="D82" s="12">
        <v>4</v>
      </c>
      <c r="E82" s="12">
        <v>3</v>
      </c>
      <c r="F82" s="12">
        <v>4</v>
      </c>
      <c r="G82" s="12">
        <v>4</v>
      </c>
      <c r="H82" s="12">
        <v>4</v>
      </c>
      <c r="I82" s="12">
        <v>4</v>
      </c>
      <c r="J82" s="12">
        <v>4</v>
      </c>
      <c r="K82" s="12">
        <v>4</v>
      </c>
      <c r="L82" s="12">
        <v>4</v>
      </c>
      <c r="M82" s="12">
        <v>3</v>
      </c>
      <c r="N82" s="12">
        <v>4</v>
      </c>
      <c r="O82" s="12">
        <v>2</v>
      </c>
      <c r="P82" s="12">
        <v>4</v>
      </c>
      <c r="Q82" s="12">
        <v>3</v>
      </c>
      <c r="R82" s="12">
        <v>4</v>
      </c>
      <c r="S82" s="12">
        <v>4</v>
      </c>
      <c r="T82" s="12">
        <v>3</v>
      </c>
      <c r="U82" s="12">
        <v>4</v>
      </c>
      <c r="V82" s="12">
        <v>3</v>
      </c>
      <c r="W82" s="12">
        <v>1</v>
      </c>
      <c r="X82" s="12">
        <v>4</v>
      </c>
      <c r="Y82" s="12">
        <v>4</v>
      </c>
      <c r="Z82" s="12">
        <v>3</v>
      </c>
      <c r="AA82" s="12">
        <v>4</v>
      </c>
      <c r="AB82" s="12">
        <v>4</v>
      </c>
      <c r="AC82" s="12">
        <v>3</v>
      </c>
      <c r="AD82" s="12">
        <v>4</v>
      </c>
      <c r="AE82" s="12">
        <v>4</v>
      </c>
      <c r="AF82" s="12">
        <v>3</v>
      </c>
      <c r="AG82" s="35">
        <v>1</v>
      </c>
      <c r="AH82" s="35">
        <v>2</v>
      </c>
      <c r="AI82" s="35">
        <v>3</v>
      </c>
      <c r="AJ82" s="35">
        <v>3</v>
      </c>
      <c r="AK82" s="35">
        <v>1</v>
      </c>
      <c r="AL82" s="35">
        <v>3</v>
      </c>
      <c r="AM82" s="35">
        <v>3</v>
      </c>
      <c r="AN82" s="35">
        <v>4</v>
      </c>
      <c r="AO82" s="35">
        <v>4</v>
      </c>
      <c r="AP82" s="38">
        <v>2</v>
      </c>
    </row>
    <row r="83" spans="2:42" x14ac:dyDescent="0.25">
      <c r="B83" s="11" t="s">
        <v>128</v>
      </c>
      <c r="C83" s="16">
        <v>3</v>
      </c>
      <c r="D83" s="12">
        <v>3</v>
      </c>
      <c r="E83" s="12">
        <v>3</v>
      </c>
      <c r="F83" s="12">
        <v>3</v>
      </c>
      <c r="G83" s="12">
        <v>4</v>
      </c>
      <c r="H83" s="12">
        <v>4</v>
      </c>
      <c r="I83" s="12">
        <v>4</v>
      </c>
      <c r="J83" s="12">
        <v>3</v>
      </c>
      <c r="K83" s="12">
        <v>3</v>
      </c>
      <c r="L83" s="12">
        <v>4</v>
      </c>
      <c r="M83" s="12">
        <v>4</v>
      </c>
      <c r="N83" s="12">
        <v>4</v>
      </c>
      <c r="O83" s="12">
        <v>3</v>
      </c>
      <c r="P83" s="12">
        <v>4</v>
      </c>
      <c r="Q83" s="12">
        <v>4</v>
      </c>
      <c r="R83" s="12">
        <v>4</v>
      </c>
      <c r="S83" s="12">
        <v>3</v>
      </c>
      <c r="T83" s="12">
        <v>2</v>
      </c>
      <c r="U83" s="12">
        <v>4</v>
      </c>
      <c r="V83" s="12">
        <v>3</v>
      </c>
      <c r="W83" s="12">
        <v>2</v>
      </c>
      <c r="X83" s="12">
        <v>3</v>
      </c>
      <c r="Y83" s="12">
        <v>4</v>
      </c>
      <c r="Z83" s="12">
        <v>4</v>
      </c>
      <c r="AA83" s="12">
        <v>4</v>
      </c>
      <c r="AB83" s="12">
        <v>3</v>
      </c>
      <c r="AC83" s="12">
        <v>2</v>
      </c>
      <c r="AD83" s="12">
        <v>3</v>
      </c>
      <c r="AE83" s="12">
        <v>4</v>
      </c>
      <c r="AF83" s="12">
        <v>3</v>
      </c>
      <c r="AG83" s="35">
        <v>2</v>
      </c>
      <c r="AH83" s="35">
        <v>3</v>
      </c>
      <c r="AI83" s="35">
        <v>3</v>
      </c>
      <c r="AJ83" s="35">
        <v>4</v>
      </c>
      <c r="AK83" s="35">
        <v>2</v>
      </c>
      <c r="AL83" s="35">
        <v>3</v>
      </c>
      <c r="AM83" s="35">
        <v>4</v>
      </c>
      <c r="AN83" s="35">
        <v>4</v>
      </c>
      <c r="AO83" s="35">
        <v>4</v>
      </c>
      <c r="AP83" s="38">
        <v>3</v>
      </c>
    </row>
    <row r="84" spans="2:42" x14ac:dyDescent="0.25">
      <c r="B84" s="11" t="s">
        <v>129</v>
      </c>
      <c r="C84" s="16">
        <v>2</v>
      </c>
      <c r="D84" s="12">
        <v>4</v>
      </c>
      <c r="E84" s="12">
        <v>3</v>
      </c>
      <c r="F84" s="12">
        <v>4</v>
      </c>
      <c r="G84" s="12">
        <v>2</v>
      </c>
      <c r="H84" s="12">
        <v>4</v>
      </c>
      <c r="I84" s="12">
        <v>4</v>
      </c>
      <c r="J84" s="12">
        <v>3</v>
      </c>
      <c r="K84" s="12">
        <v>3</v>
      </c>
      <c r="L84" s="12">
        <v>4</v>
      </c>
      <c r="M84" s="12">
        <v>4</v>
      </c>
      <c r="N84" s="12">
        <v>4</v>
      </c>
      <c r="O84" s="12">
        <v>2</v>
      </c>
      <c r="P84" s="12">
        <v>4</v>
      </c>
      <c r="Q84" s="12">
        <v>3</v>
      </c>
      <c r="R84" s="12">
        <v>4</v>
      </c>
      <c r="S84" s="12">
        <v>3</v>
      </c>
      <c r="T84" s="12">
        <v>3</v>
      </c>
      <c r="U84" s="12">
        <v>4</v>
      </c>
      <c r="V84" s="12">
        <v>3</v>
      </c>
      <c r="W84" s="12">
        <v>2</v>
      </c>
      <c r="X84" s="12">
        <v>3</v>
      </c>
      <c r="Y84" s="12">
        <v>4</v>
      </c>
      <c r="Z84" s="12">
        <v>4</v>
      </c>
      <c r="AA84" s="12">
        <v>4</v>
      </c>
      <c r="AB84" s="12">
        <v>3</v>
      </c>
      <c r="AC84" s="12">
        <v>2</v>
      </c>
      <c r="AD84" s="12">
        <v>3</v>
      </c>
      <c r="AE84" s="12">
        <v>4</v>
      </c>
      <c r="AF84" s="12">
        <v>2</v>
      </c>
      <c r="AG84" s="35">
        <v>2</v>
      </c>
      <c r="AH84" s="35">
        <v>2</v>
      </c>
      <c r="AI84" s="35">
        <v>3</v>
      </c>
      <c r="AJ84" s="35">
        <v>4</v>
      </c>
      <c r="AK84" s="35">
        <v>2</v>
      </c>
      <c r="AL84" s="35">
        <v>3</v>
      </c>
      <c r="AM84" s="35">
        <v>4</v>
      </c>
      <c r="AN84" s="35">
        <v>4</v>
      </c>
      <c r="AO84" s="35">
        <v>4</v>
      </c>
      <c r="AP84" s="38">
        <v>2</v>
      </c>
    </row>
    <row r="85" spans="2:42" x14ac:dyDescent="0.25">
      <c r="B85" s="11" t="s">
        <v>130</v>
      </c>
      <c r="C85" s="16">
        <v>2</v>
      </c>
      <c r="D85" s="12">
        <v>4</v>
      </c>
      <c r="E85" s="12">
        <v>3</v>
      </c>
      <c r="F85" s="12">
        <v>3</v>
      </c>
      <c r="G85" s="12">
        <v>1</v>
      </c>
      <c r="H85" s="12">
        <v>3</v>
      </c>
      <c r="I85" s="12">
        <v>3</v>
      </c>
      <c r="J85" s="12">
        <v>2</v>
      </c>
      <c r="K85" s="12">
        <v>4</v>
      </c>
      <c r="L85" s="12">
        <v>4</v>
      </c>
      <c r="M85" s="12">
        <v>4</v>
      </c>
      <c r="N85" s="12">
        <v>4</v>
      </c>
      <c r="O85" s="12">
        <v>2</v>
      </c>
      <c r="P85" s="12">
        <v>4</v>
      </c>
      <c r="Q85" s="12">
        <v>4</v>
      </c>
      <c r="R85" s="12">
        <v>4</v>
      </c>
      <c r="S85" s="12">
        <v>4</v>
      </c>
      <c r="T85" s="12">
        <v>3</v>
      </c>
      <c r="U85" s="12">
        <v>4</v>
      </c>
      <c r="V85" s="12">
        <v>3</v>
      </c>
      <c r="W85" s="12">
        <v>2</v>
      </c>
      <c r="X85" s="12">
        <v>2</v>
      </c>
      <c r="Y85" s="12">
        <v>3</v>
      </c>
      <c r="Z85" s="12">
        <v>2</v>
      </c>
      <c r="AA85" s="12">
        <v>4</v>
      </c>
      <c r="AB85" s="12">
        <v>3</v>
      </c>
      <c r="AC85" s="12">
        <v>3</v>
      </c>
      <c r="AD85" s="12">
        <v>3</v>
      </c>
      <c r="AE85" s="12">
        <v>2</v>
      </c>
      <c r="AF85" s="12">
        <v>2</v>
      </c>
      <c r="AG85" s="35">
        <v>3</v>
      </c>
      <c r="AH85" s="35">
        <v>2</v>
      </c>
      <c r="AI85" s="35">
        <v>2</v>
      </c>
      <c r="AJ85" s="35">
        <v>4</v>
      </c>
      <c r="AK85" s="35">
        <v>2</v>
      </c>
      <c r="AL85" s="35">
        <v>3</v>
      </c>
      <c r="AM85" s="35">
        <v>4</v>
      </c>
      <c r="AN85" s="35">
        <v>3</v>
      </c>
      <c r="AO85" s="35">
        <v>3</v>
      </c>
      <c r="AP85" s="38">
        <v>2</v>
      </c>
    </row>
    <row r="86" spans="2:42" x14ac:dyDescent="0.25">
      <c r="B86" s="11" t="s">
        <v>131</v>
      </c>
      <c r="C86" s="16">
        <v>3</v>
      </c>
      <c r="D86" s="12">
        <v>4</v>
      </c>
      <c r="E86" s="12">
        <v>3</v>
      </c>
      <c r="F86" s="12">
        <v>4</v>
      </c>
      <c r="G86" s="12">
        <v>4</v>
      </c>
      <c r="H86" s="12">
        <v>4</v>
      </c>
      <c r="I86" s="12">
        <v>4</v>
      </c>
      <c r="J86" s="12">
        <v>3</v>
      </c>
      <c r="K86" s="12">
        <v>4</v>
      </c>
      <c r="L86" s="12">
        <v>3</v>
      </c>
      <c r="M86" s="12">
        <v>4</v>
      </c>
      <c r="N86" s="12">
        <v>4</v>
      </c>
      <c r="O86" s="12">
        <v>2</v>
      </c>
      <c r="P86" s="12">
        <v>4</v>
      </c>
      <c r="Q86" s="12">
        <v>3</v>
      </c>
      <c r="R86" s="12">
        <v>3</v>
      </c>
      <c r="S86" s="12">
        <v>3</v>
      </c>
      <c r="T86" s="12">
        <v>3</v>
      </c>
      <c r="U86" s="12">
        <v>4</v>
      </c>
      <c r="V86" s="12">
        <v>3</v>
      </c>
      <c r="W86" s="12">
        <v>3</v>
      </c>
      <c r="X86" s="12">
        <v>4</v>
      </c>
      <c r="Y86" s="12">
        <v>3</v>
      </c>
      <c r="Z86" s="12">
        <v>3</v>
      </c>
      <c r="AA86" s="12">
        <v>4</v>
      </c>
      <c r="AB86" s="12">
        <v>2</v>
      </c>
      <c r="AC86" s="12">
        <v>3</v>
      </c>
      <c r="AD86" s="12">
        <v>1</v>
      </c>
      <c r="AE86" s="12">
        <v>3</v>
      </c>
      <c r="AF86" s="12">
        <v>3</v>
      </c>
      <c r="AG86" s="35">
        <v>4</v>
      </c>
      <c r="AH86" s="35">
        <v>3</v>
      </c>
      <c r="AI86" s="35">
        <v>1</v>
      </c>
      <c r="AJ86" s="35">
        <v>4</v>
      </c>
      <c r="AK86" s="35">
        <v>3</v>
      </c>
      <c r="AL86" s="35">
        <v>3</v>
      </c>
      <c r="AM86" s="35">
        <v>2</v>
      </c>
      <c r="AN86" s="35">
        <v>4</v>
      </c>
      <c r="AO86" s="35">
        <v>4</v>
      </c>
      <c r="AP86" s="38">
        <v>2</v>
      </c>
    </row>
    <row r="87" spans="2:42" x14ac:dyDescent="0.25">
      <c r="B87" s="11" t="s">
        <v>132</v>
      </c>
      <c r="C87" s="16">
        <v>3</v>
      </c>
      <c r="D87" s="12">
        <v>4</v>
      </c>
      <c r="E87" s="12">
        <v>3</v>
      </c>
      <c r="F87" s="12">
        <v>4</v>
      </c>
      <c r="G87" s="12">
        <v>3</v>
      </c>
      <c r="H87" s="12">
        <v>3</v>
      </c>
      <c r="I87" s="12">
        <v>2</v>
      </c>
      <c r="J87" s="12">
        <v>1</v>
      </c>
      <c r="K87" s="12">
        <v>3</v>
      </c>
      <c r="L87" s="12">
        <v>2</v>
      </c>
      <c r="M87" s="12">
        <v>4</v>
      </c>
      <c r="N87" s="12">
        <v>2</v>
      </c>
      <c r="O87" s="12">
        <v>3</v>
      </c>
      <c r="P87" s="12">
        <v>4</v>
      </c>
      <c r="Q87" s="12">
        <v>2</v>
      </c>
      <c r="R87" s="12">
        <v>2</v>
      </c>
      <c r="S87" s="12">
        <v>2</v>
      </c>
      <c r="T87" s="12">
        <v>3</v>
      </c>
      <c r="U87" s="12">
        <v>2</v>
      </c>
      <c r="V87" s="12">
        <v>3</v>
      </c>
      <c r="W87" s="12">
        <v>3</v>
      </c>
      <c r="X87" s="12">
        <v>2</v>
      </c>
      <c r="Y87" s="12">
        <v>4</v>
      </c>
      <c r="Z87" s="12">
        <v>0</v>
      </c>
      <c r="AA87" s="12">
        <v>4</v>
      </c>
      <c r="AB87" s="12">
        <v>0</v>
      </c>
      <c r="AC87" s="12">
        <v>2</v>
      </c>
      <c r="AD87" s="12">
        <v>2</v>
      </c>
      <c r="AE87" s="12">
        <v>4</v>
      </c>
      <c r="AF87" s="12">
        <v>1</v>
      </c>
      <c r="AG87" s="35">
        <v>2</v>
      </c>
      <c r="AH87" s="35">
        <v>0</v>
      </c>
      <c r="AI87" s="35">
        <v>2</v>
      </c>
      <c r="AJ87" s="35">
        <v>0</v>
      </c>
      <c r="AK87" s="35">
        <v>3</v>
      </c>
      <c r="AL87" s="35">
        <v>2</v>
      </c>
      <c r="AM87" s="35">
        <v>0</v>
      </c>
      <c r="AN87" s="35">
        <v>0</v>
      </c>
      <c r="AO87" s="35">
        <v>0</v>
      </c>
      <c r="AP87" s="38">
        <v>0</v>
      </c>
    </row>
    <row r="88" spans="2:42" x14ac:dyDescent="0.25">
      <c r="B88" s="11" t="s">
        <v>133</v>
      </c>
      <c r="C88" s="16">
        <v>3</v>
      </c>
      <c r="D88" s="12">
        <v>4</v>
      </c>
      <c r="E88" s="12">
        <v>3</v>
      </c>
      <c r="F88" s="12">
        <v>4</v>
      </c>
      <c r="G88" s="12">
        <v>4</v>
      </c>
      <c r="H88" s="12">
        <v>3</v>
      </c>
      <c r="I88" s="12">
        <v>4</v>
      </c>
      <c r="J88" s="12">
        <v>2</v>
      </c>
      <c r="K88" s="12">
        <v>3</v>
      </c>
      <c r="L88" s="12">
        <v>3</v>
      </c>
      <c r="M88" s="12">
        <v>3</v>
      </c>
      <c r="N88" s="12">
        <v>3</v>
      </c>
      <c r="O88" s="12">
        <v>3</v>
      </c>
      <c r="P88" s="12">
        <v>2</v>
      </c>
      <c r="Q88" s="12">
        <v>3</v>
      </c>
      <c r="R88" s="12">
        <v>3</v>
      </c>
      <c r="S88" s="12">
        <v>3</v>
      </c>
      <c r="T88" s="12">
        <v>2</v>
      </c>
      <c r="U88" s="12">
        <v>2</v>
      </c>
      <c r="V88" s="12">
        <v>3</v>
      </c>
      <c r="W88" s="12">
        <v>3</v>
      </c>
      <c r="X88" s="12">
        <v>3</v>
      </c>
      <c r="Y88" s="12">
        <v>4</v>
      </c>
      <c r="Z88" s="12">
        <v>0</v>
      </c>
      <c r="AA88" s="12">
        <v>4</v>
      </c>
      <c r="AB88" s="12">
        <v>0</v>
      </c>
      <c r="AC88" s="12">
        <v>2</v>
      </c>
      <c r="AD88" s="12">
        <v>4</v>
      </c>
      <c r="AE88" s="12">
        <v>4</v>
      </c>
      <c r="AF88" s="12">
        <v>3</v>
      </c>
      <c r="AG88" s="35">
        <v>3</v>
      </c>
      <c r="AH88" s="35">
        <v>2</v>
      </c>
      <c r="AI88" s="35">
        <v>4</v>
      </c>
      <c r="AJ88" s="35">
        <v>3</v>
      </c>
      <c r="AK88" s="35">
        <v>3</v>
      </c>
      <c r="AL88" s="35">
        <v>4</v>
      </c>
      <c r="AM88" s="35">
        <v>4</v>
      </c>
      <c r="AN88" s="35">
        <v>3</v>
      </c>
      <c r="AO88" s="35">
        <v>3</v>
      </c>
      <c r="AP88" s="38">
        <v>0</v>
      </c>
    </row>
    <row r="89" spans="2:42" x14ac:dyDescent="0.25">
      <c r="B89" s="11" t="s">
        <v>134</v>
      </c>
      <c r="C89" s="16">
        <v>2</v>
      </c>
      <c r="D89" s="12">
        <v>2</v>
      </c>
      <c r="E89" s="12">
        <v>3</v>
      </c>
      <c r="F89" s="12">
        <v>3</v>
      </c>
      <c r="G89" s="12">
        <v>4</v>
      </c>
      <c r="H89" s="12">
        <v>3</v>
      </c>
      <c r="I89" s="12">
        <v>4</v>
      </c>
      <c r="J89" s="12">
        <v>3</v>
      </c>
      <c r="K89" s="12">
        <v>2</v>
      </c>
      <c r="L89" s="12">
        <v>3</v>
      </c>
      <c r="M89" s="12">
        <v>4</v>
      </c>
      <c r="N89" s="12">
        <v>3</v>
      </c>
      <c r="O89" s="12">
        <v>2</v>
      </c>
      <c r="P89" s="12">
        <v>2</v>
      </c>
      <c r="Q89" s="12">
        <v>3</v>
      </c>
      <c r="R89" s="12">
        <v>3</v>
      </c>
      <c r="S89" s="12">
        <v>2</v>
      </c>
      <c r="T89" s="12">
        <v>1</v>
      </c>
      <c r="U89" s="12">
        <v>2</v>
      </c>
      <c r="V89" s="12">
        <v>3</v>
      </c>
      <c r="W89" s="12">
        <v>3</v>
      </c>
      <c r="X89" s="12">
        <v>3</v>
      </c>
      <c r="Y89" s="12">
        <v>2</v>
      </c>
      <c r="Z89" s="12">
        <v>3</v>
      </c>
      <c r="AA89" s="12">
        <v>4</v>
      </c>
      <c r="AB89" s="12">
        <v>1</v>
      </c>
      <c r="AC89" s="12">
        <v>2</v>
      </c>
      <c r="AD89" s="12">
        <v>4</v>
      </c>
      <c r="AE89" s="12">
        <v>3</v>
      </c>
      <c r="AF89" s="12">
        <v>3</v>
      </c>
      <c r="AG89" s="35">
        <v>2</v>
      </c>
      <c r="AH89" s="35">
        <v>1</v>
      </c>
      <c r="AI89" s="35">
        <v>1</v>
      </c>
      <c r="AJ89" s="35">
        <v>3</v>
      </c>
      <c r="AK89" s="35">
        <v>3</v>
      </c>
      <c r="AL89" s="35">
        <v>2</v>
      </c>
      <c r="AM89" s="35">
        <v>4</v>
      </c>
      <c r="AN89" s="35">
        <v>1</v>
      </c>
      <c r="AO89" s="35">
        <v>3</v>
      </c>
      <c r="AP89" s="38">
        <v>4</v>
      </c>
    </row>
    <row r="90" spans="2:42" x14ac:dyDescent="0.25">
      <c r="B90" s="11" t="s">
        <v>135</v>
      </c>
      <c r="C90" s="16">
        <v>2</v>
      </c>
      <c r="D90" s="12">
        <v>3</v>
      </c>
      <c r="E90" s="12">
        <v>3</v>
      </c>
      <c r="F90" s="12">
        <v>4</v>
      </c>
      <c r="G90" s="12">
        <v>4</v>
      </c>
      <c r="H90" s="12">
        <v>2</v>
      </c>
      <c r="I90" s="12">
        <v>4</v>
      </c>
      <c r="J90" s="12">
        <v>2</v>
      </c>
      <c r="K90" s="12">
        <v>3</v>
      </c>
      <c r="L90" s="12">
        <v>3</v>
      </c>
      <c r="M90" s="12">
        <v>4</v>
      </c>
      <c r="N90" s="12">
        <v>3</v>
      </c>
      <c r="O90" s="12">
        <v>2</v>
      </c>
      <c r="P90" s="12">
        <v>2</v>
      </c>
      <c r="Q90" s="12">
        <v>3</v>
      </c>
      <c r="R90" s="12">
        <v>3</v>
      </c>
      <c r="S90" s="12">
        <v>2</v>
      </c>
      <c r="T90" s="12">
        <v>2</v>
      </c>
      <c r="U90" s="12">
        <v>3</v>
      </c>
      <c r="V90" s="12">
        <v>3</v>
      </c>
      <c r="W90" s="12">
        <v>2</v>
      </c>
      <c r="X90" s="12">
        <v>2</v>
      </c>
      <c r="Y90" s="12">
        <v>3</v>
      </c>
      <c r="Z90" s="12">
        <v>3</v>
      </c>
      <c r="AA90" s="12">
        <v>4</v>
      </c>
      <c r="AB90" s="12">
        <v>0</v>
      </c>
      <c r="AC90" s="12">
        <v>1</v>
      </c>
      <c r="AD90" s="12">
        <v>4</v>
      </c>
      <c r="AE90" s="12">
        <v>3</v>
      </c>
      <c r="AF90" s="12">
        <v>3</v>
      </c>
      <c r="AG90" s="35">
        <v>2</v>
      </c>
      <c r="AH90" s="35">
        <v>1</v>
      </c>
      <c r="AI90" s="35">
        <v>2</v>
      </c>
      <c r="AJ90" s="35">
        <v>3</v>
      </c>
      <c r="AK90" s="35">
        <v>2</v>
      </c>
      <c r="AL90" s="35">
        <v>3</v>
      </c>
      <c r="AM90" s="35">
        <v>4</v>
      </c>
      <c r="AN90" s="35">
        <v>1</v>
      </c>
      <c r="AO90" s="35">
        <v>3</v>
      </c>
      <c r="AP90" s="38">
        <v>0</v>
      </c>
    </row>
    <row r="91" spans="2:42" x14ac:dyDescent="0.25">
      <c r="B91" s="11" t="s">
        <v>136</v>
      </c>
      <c r="C91" s="16">
        <v>3</v>
      </c>
      <c r="D91" s="12">
        <v>3</v>
      </c>
      <c r="E91" s="12">
        <v>3</v>
      </c>
      <c r="F91" s="12">
        <v>4</v>
      </c>
      <c r="G91" s="12">
        <v>4</v>
      </c>
      <c r="H91" s="12">
        <v>4</v>
      </c>
      <c r="I91" s="12">
        <v>4</v>
      </c>
      <c r="J91" s="12">
        <v>4</v>
      </c>
      <c r="K91" s="12">
        <v>3</v>
      </c>
      <c r="L91" s="12">
        <v>4</v>
      </c>
      <c r="M91" s="12">
        <v>4</v>
      </c>
      <c r="N91" s="12">
        <v>4</v>
      </c>
      <c r="O91" s="12">
        <v>2</v>
      </c>
      <c r="P91" s="12">
        <v>3</v>
      </c>
      <c r="Q91" s="12">
        <v>4</v>
      </c>
      <c r="R91" s="12">
        <v>3</v>
      </c>
      <c r="S91" s="12">
        <v>3</v>
      </c>
      <c r="T91" s="12">
        <v>3</v>
      </c>
      <c r="U91" s="12">
        <v>3</v>
      </c>
      <c r="V91" s="12">
        <v>0</v>
      </c>
      <c r="W91" s="12">
        <v>1</v>
      </c>
      <c r="X91" s="12">
        <v>2</v>
      </c>
      <c r="Y91" s="12">
        <v>4</v>
      </c>
      <c r="Z91" s="12">
        <v>4</v>
      </c>
      <c r="AA91" s="12">
        <v>4</v>
      </c>
      <c r="AB91" s="12">
        <v>2</v>
      </c>
      <c r="AC91" s="12">
        <v>2</v>
      </c>
      <c r="AD91" s="12">
        <v>4</v>
      </c>
      <c r="AE91" s="12">
        <v>4</v>
      </c>
      <c r="AF91" s="12">
        <v>3</v>
      </c>
      <c r="AG91" s="35">
        <v>4</v>
      </c>
      <c r="AH91" s="35">
        <v>2</v>
      </c>
      <c r="AI91" s="35">
        <v>3</v>
      </c>
      <c r="AJ91" s="35">
        <v>4</v>
      </c>
      <c r="AK91" s="35">
        <v>1</v>
      </c>
      <c r="AL91" s="35">
        <v>4</v>
      </c>
      <c r="AM91" s="35">
        <v>4</v>
      </c>
      <c r="AN91" s="35">
        <v>3</v>
      </c>
      <c r="AO91" s="35">
        <v>4</v>
      </c>
      <c r="AP91" s="38">
        <v>1</v>
      </c>
    </row>
    <row r="92" spans="2:42" x14ac:dyDescent="0.25">
      <c r="B92" s="11" t="s">
        <v>137</v>
      </c>
      <c r="C92" s="16">
        <v>3</v>
      </c>
      <c r="D92" s="12">
        <v>4</v>
      </c>
      <c r="E92" s="12">
        <v>2</v>
      </c>
      <c r="F92" s="12">
        <v>2</v>
      </c>
      <c r="G92" s="12">
        <v>3</v>
      </c>
      <c r="H92" s="12">
        <v>2</v>
      </c>
      <c r="I92" s="12">
        <v>4</v>
      </c>
      <c r="J92" s="12">
        <v>3</v>
      </c>
      <c r="K92" s="12">
        <v>3</v>
      </c>
      <c r="L92" s="12">
        <v>4</v>
      </c>
      <c r="M92" s="12">
        <v>3</v>
      </c>
      <c r="N92" s="12">
        <v>4</v>
      </c>
      <c r="O92" s="12">
        <v>2</v>
      </c>
      <c r="P92" s="12">
        <v>3</v>
      </c>
      <c r="Q92" s="12">
        <v>4</v>
      </c>
      <c r="R92" s="12">
        <v>3</v>
      </c>
      <c r="S92" s="12">
        <v>3</v>
      </c>
      <c r="T92" s="12">
        <v>1</v>
      </c>
      <c r="U92" s="12">
        <v>3</v>
      </c>
      <c r="V92" s="12">
        <v>1</v>
      </c>
      <c r="W92" s="12">
        <v>0</v>
      </c>
      <c r="X92" s="12">
        <v>2</v>
      </c>
      <c r="Y92" s="12">
        <v>3</v>
      </c>
      <c r="Z92" s="12">
        <v>3</v>
      </c>
      <c r="AA92" s="12">
        <v>4</v>
      </c>
      <c r="AB92" s="12">
        <v>0</v>
      </c>
      <c r="AC92" s="12">
        <v>1</v>
      </c>
      <c r="AD92" s="12">
        <v>2</v>
      </c>
      <c r="AE92" s="12">
        <v>2</v>
      </c>
      <c r="AF92" s="12">
        <v>2</v>
      </c>
      <c r="AG92" s="35">
        <v>2</v>
      </c>
      <c r="AH92" s="35">
        <v>3</v>
      </c>
      <c r="AI92" s="35">
        <v>2</v>
      </c>
      <c r="AJ92" s="35">
        <v>3</v>
      </c>
      <c r="AK92" s="35">
        <v>0</v>
      </c>
      <c r="AL92" s="35">
        <v>3</v>
      </c>
      <c r="AM92" s="35">
        <v>4</v>
      </c>
      <c r="AN92" s="35">
        <v>1</v>
      </c>
      <c r="AO92" s="35">
        <v>3</v>
      </c>
      <c r="AP92" s="38">
        <v>0</v>
      </c>
    </row>
    <row r="93" spans="2:42" x14ac:dyDescent="0.25">
      <c r="B93" s="11" t="s">
        <v>138</v>
      </c>
      <c r="C93" s="16">
        <v>3</v>
      </c>
      <c r="D93" s="12">
        <v>4</v>
      </c>
      <c r="E93" s="12">
        <v>3</v>
      </c>
      <c r="F93" s="12">
        <v>4</v>
      </c>
      <c r="G93" s="12">
        <v>4</v>
      </c>
      <c r="H93" s="12">
        <v>4</v>
      </c>
      <c r="I93" s="12">
        <v>4</v>
      </c>
      <c r="J93" s="12">
        <v>4</v>
      </c>
      <c r="K93" s="12">
        <v>3</v>
      </c>
      <c r="L93" s="12">
        <v>4</v>
      </c>
      <c r="M93" s="12">
        <v>4</v>
      </c>
      <c r="N93" s="12">
        <v>2</v>
      </c>
      <c r="O93" s="12">
        <v>3</v>
      </c>
      <c r="P93" s="12">
        <v>4</v>
      </c>
      <c r="Q93" s="12">
        <v>2</v>
      </c>
      <c r="R93" s="12">
        <v>4</v>
      </c>
      <c r="S93" s="12">
        <v>4</v>
      </c>
      <c r="T93" s="12">
        <v>2</v>
      </c>
      <c r="U93" s="12">
        <v>3</v>
      </c>
      <c r="V93" s="12">
        <v>2</v>
      </c>
      <c r="W93" s="12">
        <v>3</v>
      </c>
      <c r="X93" s="12">
        <v>4</v>
      </c>
      <c r="Y93" s="12">
        <v>4</v>
      </c>
      <c r="Z93" s="12">
        <v>2</v>
      </c>
      <c r="AA93" s="12">
        <v>4</v>
      </c>
      <c r="AB93" s="12">
        <v>3</v>
      </c>
      <c r="AC93" s="12">
        <v>3</v>
      </c>
      <c r="AD93" s="12">
        <v>2</v>
      </c>
      <c r="AE93" s="12">
        <v>4</v>
      </c>
      <c r="AF93" s="12">
        <v>2</v>
      </c>
      <c r="AG93" s="35">
        <v>2</v>
      </c>
      <c r="AH93" s="35">
        <v>3</v>
      </c>
      <c r="AI93" s="35">
        <v>3</v>
      </c>
      <c r="AJ93" s="35">
        <v>3</v>
      </c>
      <c r="AK93" s="35">
        <v>3</v>
      </c>
      <c r="AL93" s="35">
        <v>3</v>
      </c>
      <c r="AM93" s="35">
        <v>3</v>
      </c>
      <c r="AN93" s="35">
        <v>4</v>
      </c>
      <c r="AO93" s="35">
        <v>4</v>
      </c>
      <c r="AP93" s="38">
        <v>3</v>
      </c>
    </row>
    <row r="94" spans="2:42" x14ac:dyDescent="0.25">
      <c r="B94" s="11" t="s">
        <v>139</v>
      </c>
      <c r="C94" s="16">
        <v>2</v>
      </c>
      <c r="D94" s="12">
        <v>4</v>
      </c>
      <c r="E94" s="12">
        <v>3</v>
      </c>
      <c r="F94" s="12">
        <v>3</v>
      </c>
      <c r="G94" s="12">
        <v>4</v>
      </c>
      <c r="H94" s="12">
        <v>4</v>
      </c>
      <c r="I94" s="12">
        <v>4</v>
      </c>
      <c r="J94" s="12">
        <v>4</v>
      </c>
      <c r="K94" s="12">
        <v>3</v>
      </c>
      <c r="L94" s="12">
        <v>4</v>
      </c>
      <c r="M94" s="12">
        <v>4</v>
      </c>
      <c r="N94" s="12">
        <v>4</v>
      </c>
      <c r="O94" s="12">
        <v>2</v>
      </c>
      <c r="P94" s="12">
        <v>4</v>
      </c>
      <c r="Q94" s="12">
        <v>4</v>
      </c>
      <c r="R94" s="12">
        <v>3</v>
      </c>
      <c r="S94" s="12">
        <v>2</v>
      </c>
      <c r="T94" s="12">
        <v>4</v>
      </c>
      <c r="U94" s="12">
        <v>4</v>
      </c>
      <c r="V94" s="12">
        <v>3</v>
      </c>
      <c r="W94" s="12">
        <v>3</v>
      </c>
      <c r="X94" s="12">
        <v>4</v>
      </c>
      <c r="Y94" s="12">
        <v>3</v>
      </c>
      <c r="Z94" s="12">
        <v>3</v>
      </c>
      <c r="AA94" s="12">
        <v>4</v>
      </c>
      <c r="AB94" s="12">
        <v>3</v>
      </c>
      <c r="AC94" s="12">
        <v>3</v>
      </c>
      <c r="AD94" s="12">
        <v>4</v>
      </c>
      <c r="AE94" s="12">
        <v>4</v>
      </c>
      <c r="AF94" s="12">
        <v>3</v>
      </c>
      <c r="AG94" s="35">
        <v>4</v>
      </c>
      <c r="AH94" s="35">
        <v>3</v>
      </c>
      <c r="AI94" s="35">
        <v>2</v>
      </c>
      <c r="AJ94" s="35">
        <v>4</v>
      </c>
      <c r="AK94" s="35">
        <v>3</v>
      </c>
      <c r="AL94" s="35">
        <v>3</v>
      </c>
      <c r="AM94" s="35">
        <v>1</v>
      </c>
      <c r="AN94" s="35">
        <v>3</v>
      </c>
      <c r="AO94" s="35">
        <v>4</v>
      </c>
      <c r="AP94" s="38">
        <v>1</v>
      </c>
    </row>
    <row r="95" spans="2:42" x14ac:dyDescent="0.25">
      <c r="B95" s="11" t="s">
        <v>140</v>
      </c>
      <c r="C95" s="16">
        <v>3</v>
      </c>
      <c r="D95" s="12">
        <v>4</v>
      </c>
      <c r="E95" s="12">
        <v>3</v>
      </c>
      <c r="F95" s="12">
        <v>4</v>
      </c>
      <c r="G95" s="12">
        <v>4</v>
      </c>
      <c r="H95" s="12">
        <v>4</v>
      </c>
      <c r="I95" s="12">
        <v>4</v>
      </c>
      <c r="J95" s="12">
        <v>3</v>
      </c>
      <c r="K95" s="12">
        <v>3</v>
      </c>
      <c r="L95" s="12">
        <v>4</v>
      </c>
      <c r="M95" s="12">
        <v>4</v>
      </c>
      <c r="N95" s="12">
        <v>4</v>
      </c>
      <c r="O95" s="12">
        <v>3</v>
      </c>
      <c r="P95" s="12">
        <v>4</v>
      </c>
      <c r="Q95" s="12">
        <v>4</v>
      </c>
      <c r="R95" s="12">
        <v>4</v>
      </c>
      <c r="S95" s="12">
        <v>3</v>
      </c>
      <c r="T95" s="12">
        <v>4</v>
      </c>
      <c r="U95" s="12">
        <v>3</v>
      </c>
      <c r="V95" s="12">
        <v>1</v>
      </c>
      <c r="W95" s="12">
        <v>3</v>
      </c>
      <c r="X95" s="12">
        <v>4</v>
      </c>
      <c r="Y95" s="12">
        <v>4</v>
      </c>
      <c r="Z95" s="12">
        <v>3</v>
      </c>
      <c r="AA95" s="12">
        <v>4</v>
      </c>
      <c r="AB95" s="12">
        <v>3</v>
      </c>
      <c r="AC95" s="12">
        <v>3</v>
      </c>
      <c r="AD95" s="12">
        <v>4</v>
      </c>
      <c r="AE95" s="12">
        <v>4</v>
      </c>
      <c r="AF95" s="12">
        <v>3</v>
      </c>
      <c r="AG95" s="35">
        <v>4</v>
      </c>
      <c r="AH95" s="35">
        <v>3</v>
      </c>
      <c r="AI95" s="35">
        <v>4</v>
      </c>
      <c r="AJ95" s="35">
        <v>4</v>
      </c>
      <c r="AK95" s="35">
        <v>3</v>
      </c>
      <c r="AL95" s="35">
        <v>4</v>
      </c>
      <c r="AM95" s="35">
        <v>4</v>
      </c>
      <c r="AN95" s="35">
        <v>4</v>
      </c>
      <c r="AO95" s="35">
        <v>4</v>
      </c>
      <c r="AP95" s="38">
        <v>2</v>
      </c>
    </row>
    <row r="96" spans="2:42" x14ac:dyDescent="0.25">
      <c r="B96" s="11" t="s">
        <v>141</v>
      </c>
      <c r="C96" s="16">
        <v>2</v>
      </c>
      <c r="D96" s="12">
        <v>3</v>
      </c>
      <c r="E96" s="12">
        <v>3</v>
      </c>
      <c r="F96" s="12">
        <v>4</v>
      </c>
      <c r="G96" s="12">
        <v>4</v>
      </c>
      <c r="H96" s="12">
        <v>4</v>
      </c>
      <c r="I96" s="12">
        <v>4</v>
      </c>
      <c r="J96" s="12">
        <v>3</v>
      </c>
      <c r="K96" s="12">
        <v>3</v>
      </c>
      <c r="L96" s="12">
        <v>4</v>
      </c>
      <c r="M96" s="12">
        <v>4</v>
      </c>
      <c r="N96" s="12">
        <v>4</v>
      </c>
      <c r="O96" s="12">
        <v>2</v>
      </c>
      <c r="P96" s="12">
        <v>4</v>
      </c>
      <c r="Q96" s="12">
        <v>4</v>
      </c>
      <c r="R96" s="12">
        <v>3</v>
      </c>
      <c r="S96" s="12">
        <v>4</v>
      </c>
      <c r="T96" s="12">
        <v>4</v>
      </c>
      <c r="U96" s="12">
        <v>3</v>
      </c>
      <c r="V96" s="12">
        <v>1</v>
      </c>
      <c r="W96" s="12">
        <v>4</v>
      </c>
      <c r="X96" s="12">
        <v>4</v>
      </c>
      <c r="Y96" s="12">
        <v>4</v>
      </c>
      <c r="Z96" s="12">
        <v>3</v>
      </c>
      <c r="AA96" s="12">
        <v>4</v>
      </c>
      <c r="AB96" s="12">
        <v>2</v>
      </c>
      <c r="AC96" s="12">
        <v>2</v>
      </c>
      <c r="AD96" s="12">
        <v>4</v>
      </c>
      <c r="AE96" s="12">
        <v>4</v>
      </c>
      <c r="AF96" s="12">
        <v>2</v>
      </c>
      <c r="AG96" s="35">
        <v>3</v>
      </c>
      <c r="AH96" s="35">
        <v>3</v>
      </c>
      <c r="AI96" s="35">
        <v>3</v>
      </c>
      <c r="AJ96" s="35">
        <v>3</v>
      </c>
      <c r="AK96" s="35">
        <v>4</v>
      </c>
      <c r="AL96" s="35">
        <v>4</v>
      </c>
      <c r="AM96" s="35">
        <v>4</v>
      </c>
      <c r="AN96" s="35">
        <v>4</v>
      </c>
      <c r="AO96" s="35">
        <v>3</v>
      </c>
      <c r="AP96" s="38">
        <v>3</v>
      </c>
    </row>
    <row r="97" spans="2:42" x14ac:dyDescent="0.25">
      <c r="B97" s="11" t="s">
        <v>142</v>
      </c>
      <c r="C97" s="16">
        <v>2</v>
      </c>
      <c r="D97" s="12">
        <v>3</v>
      </c>
      <c r="E97" s="12">
        <v>3</v>
      </c>
      <c r="F97" s="12">
        <v>4</v>
      </c>
      <c r="G97" s="12">
        <v>4</v>
      </c>
      <c r="H97" s="12">
        <v>4</v>
      </c>
      <c r="I97" s="12">
        <v>4</v>
      </c>
      <c r="J97" s="12">
        <v>4</v>
      </c>
      <c r="K97" s="12">
        <v>3</v>
      </c>
      <c r="L97" s="12">
        <v>4</v>
      </c>
      <c r="M97" s="12">
        <v>3</v>
      </c>
      <c r="N97" s="12">
        <v>2</v>
      </c>
      <c r="O97" s="12">
        <v>2</v>
      </c>
      <c r="P97" s="12">
        <v>4</v>
      </c>
      <c r="Q97" s="12">
        <v>3</v>
      </c>
      <c r="R97" s="12">
        <v>4</v>
      </c>
      <c r="S97" s="12">
        <v>4</v>
      </c>
      <c r="T97" s="12">
        <v>3</v>
      </c>
      <c r="U97" s="12">
        <v>2</v>
      </c>
      <c r="V97" s="12">
        <v>1</v>
      </c>
      <c r="W97" s="12">
        <v>3</v>
      </c>
      <c r="X97" s="12">
        <v>4</v>
      </c>
      <c r="Y97" s="12">
        <v>4</v>
      </c>
      <c r="Z97" s="12">
        <v>2</v>
      </c>
      <c r="AA97" s="12">
        <v>4</v>
      </c>
      <c r="AB97" s="12">
        <v>2</v>
      </c>
      <c r="AC97" s="12">
        <v>3</v>
      </c>
      <c r="AD97" s="12">
        <v>4</v>
      </c>
      <c r="AE97" s="12">
        <v>1</v>
      </c>
      <c r="AF97" s="12">
        <v>1</v>
      </c>
      <c r="AG97" s="35">
        <v>4</v>
      </c>
      <c r="AH97" s="35">
        <v>2</v>
      </c>
      <c r="AI97" s="35">
        <v>2</v>
      </c>
      <c r="AJ97" s="35">
        <v>2</v>
      </c>
      <c r="AK97" s="35">
        <v>3</v>
      </c>
      <c r="AL97" s="35">
        <v>4</v>
      </c>
      <c r="AM97" s="35">
        <v>4</v>
      </c>
      <c r="AN97" s="35">
        <v>4</v>
      </c>
      <c r="AO97" s="35">
        <v>4</v>
      </c>
      <c r="AP97" s="38">
        <v>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G97"/>
  <sheetViews>
    <sheetView workbookViewId="0">
      <pane xSplit="2" ySplit="3" topLeftCell="AN4" activePane="bottomRight" state="frozen"/>
      <selection pane="topRight" activeCell="C1" sqref="C1"/>
      <selection pane="bottomLeft" activeCell="A4" sqref="A4"/>
      <selection pane="bottomRight" activeCell="AI67" sqref="AI67"/>
    </sheetView>
  </sheetViews>
  <sheetFormatPr defaultColWidth="8.85546875" defaultRowHeight="15" x14ac:dyDescent="0.25"/>
  <cols>
    <col min="2" max="2" width="22" style="1" bestFit="1" customWidth="1"/>
    <col min="3" max="3" width="8.7109375" style="12" bestFit="1" customWidth="1"/>
    <col min="4" max="5" width="10.85546875" style="12" bestFit="1" customWidth="1"/>
    <col min="6" max="7" width="8.85546875" style="12"/>
    <col min="8" max="8" width="10.28515625" style="12" bestFit="1" customWidth="1"/>
    <col min="9" max="15" width="8.85546875" style="12"/>
    <col min="16" max="16" width="10" style="12" bestFit="1" customWidth="1"/>
    <col min="17" max="17" width="9.42578125" style="12" bestFit="1" customWidth="1"/>
    <col min="18" max="20" width="8.85546875" style="12"/>
    <col min="21" max="21" width="9.42578125" style="12" bestFit="1" customWidth="1"/>
    <col min="27" max="28" width="10.28515625" bestFit="1" customWidth="1"/>
    <col min="30" max="30" width="9.42578125" style="12" bestFit="1" customWidth="1"/>
    <col min="31" max="39" width="8.85546875" style="12"/>
    <col min="40" max="40" width="10.140625" style="12" bestFit="1" customWidth="1"/>
    <col min="41" max="44" width="8.85546875" style="12"/>
    <col min="45" max="45" width="10.42578125" style="12" bestFit="1" customWidth="1"/>
    <col min="46" max="46" width="11.140625" style="12" bestFit="1" customWidth="1"/>
    <col min="47" max="47" width="9.28515625" style="12" bestFit="1" customWidth="1"/>
    <col min="48" max="48" width="9.85546875" style="12" bestFit="1" customWidth="1"/>
    <col min="49" max="51" width="8.85546875" style="12"/>
    <col min="52" max="52" width="11" style="12" bestFit="1" customWidth="1"/>
    <col min="53" max="53" width="9.7109375" style="12" bestFit="1" customWidth="1"/>
    <col min="54" max="54" width="10.42578125" style="12" bestFit="1" customWidth="1"/>
    <col min="55" max="55" width="9.42578125" style="12" bestFit="1" customWidth="1"/>
    <col min="56" max="56" width="9.28515625" style="12" bestFit="1" customWidth="1"/>
    <col min="57" max="57" width="9.7109375" style="12" bestFit="1" customWidth="1"/>
    <col min="58" max="59" width="8.85546875" style="12"/>
  </cols>
  <sheetData>
    <row r="1" spans="1:59" s="15" customFormat="1" x14ac:dyDescent="0.25">
      <c r="B1" s="2"/>
      <c r="C1" s="15" t="s">
        <v>25</v>
      </c>
      <c r="D1" s="15" t="s">
        <v>34</v>
      </c>
      <c r="E1" s="15" t="s">
        <v>35</v>
      </c>
      <c r="F1" s="15" t="s">
        <v>39</v>
      </c>
      <c r="G1" s="15" t="s">
        <v>40</v>
      </c>
      <c r="H1" s="15" t="s">
        <v>41</v>
      </c>
      <c r="I1" s="15" t="s">
        <v>42</v>
      </c>
      <c r="J1" s="15" t="s">
        <v>45</v>
      </c>
      <c r="K1" s="15" t="s">
        <v>46</v>
      </c>
      <c r="L1" s="15" t="s">
        <v>47</v>
      </c>
      <c r="M1" s="15" t="s">
        <v>48</v>
      </c>
      <c r="N1" s="15" t="s">
        <v>50</v>
      </c>
      <c r="O1" s="15" t="s">
        <v>51</v>
      </c>
      <c r="P1" s="17" t="s">
        <v>52</v>
      </c>
      <c r="Q1" s="15" t="s">
        <v>53</v>
      </c>
      <c r="R1" s="15" t="s">
        <v>54</v>
      </c>
      <c r="S1" s="15" t="s">
        <v>55</v>
      </c>
      <c r="T1" s="15" t="s">
        <v>56</v>
      </c>
      <c r="U1" s="15" t="s">
        <v>57</v>
      </c>
      <c r="V1" s="15" t="s">
        <v>59</v>
      </c>
      <c r="W1" s="15" t="s">
        <v>60</v>
      </c>
      <c r="X1" s="15" t="s">
        <v>61</v>
      </c>
      <c r="Y1" s="15" t="s">
        <v>62</v>
      </c>
      <c r="Z1" s="15" t="s">
        <v>63</v>
      </c>
      <c r="AA1" s="15" t="s">
        <v>64</v>
      </c>
      <c r="AB1" s="15" t="s">
        <v>65</v>
      </c>
      <c r="AC1" s="15" t="s">
        <v>419</v>
      </c>
      <c r="AD1" s="14" t="s">
        <v>66</v>
      </c>
      <c r="AE1" s="14" t="s">
        <v>67</v>
      </c>
      <c r="AF1" s="14" t="s">
        <v>68</v>
      </c>
      <c r="AG1" s="14" t="s">
        <v>69</v>
      </c>
      <c r="AH1" s="14" t="s">
        <v>70</v>
      </c>
      <c r="AI1" s="14" t="s">
        <v>72</v>
      </c>
      <c r="AJ1" s="14" t="s">
        <v>73</v>
      </c>
      <c r="AK1" s="14" t="s">
        <v>74</v>
      </c>
      <c r="AL1" s="14" t="s">
        <v>75</v>
      </c>
      <c r="AM1" s="14" t="s">
        <v>77</v>
      </c>
      <c r="AN1" s="14" t="s">
        <v>78</v>
      </c>
      <c r="AO1" s="14" t="s">
        <v>79</v>
      </c>
      <c r="AP1" s="14" t="s">
        <v>80</v>
      </c>
      <c r="AQ1" s="14" t="s">
        <v>81</v>
      </c>
      <c r="AR1" s="14" t="s">
        <v>82</v>
      </c>
      <c r="AS1" s="14" t="s">
        <v>83</v>
      </c>
      <c r="AT1" s="14" t="s">
        <v>84</v>
      </c>
      <c r="AU1" s="14" t="s">
        <v>85</v>
      </c>
      <c r="AV1" s="14" t="s">
        <v>86</v>
      </c>
      <c r="AW1" s="14" t="s">
        <v>87</v>
      </c>
      <c r="AX1" s="14" t="s">
        <v>88</v>
      </c>
      <c r="AY1" s="14" t="s">
        <v>89</v>
      </c>
      <c r="AZ1" s="14" t="s">
        <v>90</v>
      </c>
      <c r="BA1" s="14" t="s">
        <v>91</v>
      </c>
      <c r="BB1" s="14" t="s">
        <v>92</v>
      </c>
      <c r="BC1" s="14" t="s">
        <v>93</v>
      </c>
      <c r="BD1" s="14" t="s">
        <v>94</v>
      </c>
      <c r="BE1" s="14" t="s">
        <v>95</v>
      </c>
      <c r="BF1" s="14" t="s">
        <v>420</v>
      </c>
      <c r="BG1" s="14" t="s">
        <v>421</v>
      </c>
    </row>
    <row r="2" spans="1:59" s="21" customFormat="1" x14ac:dyDescent="0.25">
      <c r="B2" s="20" t="s">
        <v>143</v>
      </c>
      <c r="C2" s="22" t="s">
        <v>113</v>
      </c>
      <c r="D2" s="22" t="s">
        <v>114</v>
      </c>
      <c r="E2" s="22" t="s">
        <v>115</v>
      </c>
      <c r="F2" s="22" t="s">
        <v>116</v>
      </c>
      <c r="G2" s="22" t="s">
        <v>117</v>
      </c>
      <c r="H2" s="22" t="s">
        <v>312</v>
      </c>
      <c r="I2" s="22" t="s">
        <v>313</v>
      </c>
      <c r="J2" s="22" t="s">
        <v>314</v>
      </c>
      <c r="K2" s="22" t="s">
        <v>315</v>
      </c>
      <c r="L2" s="22" t="s">
        <v>316</v>
      </c>
      <c r="M2" s="22" t="s">
        <v>317</v>
      </c>
      <c r="N2" s="22" t="s">
        <v>318</v>
      </c>
      <c r="O2" s="22" t="s">
        <v>319</v>
      </c>
      <c r="P2" s="22" t="s">
        <v>320</v>
      </c>
      <c r="Q2" s="22" t="s">
        <v>321</v>
      </c>
      <c r="R2" s="22" t="s">
        <v>322</v>
      </c>
      <c r="S2" s="22" t="s">
        <v>323</v>
      </c>
      <c r="T2" s="22" t="s">
        <v>324</v>
      </c>
      <c r="U2" s="22" t="s">
        <v>325</v>
      </c>
      <c r="V2" s="22" t="s">
        <v>326</v>
      </c>
      <c r="W2" s="22" t="s">
        <v>327</v>
      </c>
      <c r="X2" s="22" t="s">
        <v>328</v>
      </c>
      <c r="Y2" s="22" t="s">
        <v>329</v>
      </c>
      <c r="Z2" s="22" t="s">
        <v>330</v>
      </c>
      <c r="AA2" s="22" t="s">
        <v>331</v>
      </c>
      <c r="AB2" s="22" t="s">
        <v>332</v>
      </c>
      <c r="AC2" s="22" t="s">
        <v>424</v>
      </c>
      <c r="AD2" s="22" t="s">
        <v>333</v>
      </c>
      <c r="AE2" s="22" t="s">
        <v>334</v>
      </c>
      <c r="AF2" s="22" t="s">
        <v>335</v>
      </c>
      <c r="AG2" s="22" t="s">
        <v>336</v>
      </c>
      <c r="AH2" s="22" t="s">
        <v>337</v>
      </c>
      <c r="AI2" s="22" t="s">
        <v>338</v>
      </c>
      <c r="AJ2" s="22" t="s">
        <v>339</v>
      </c>
      <c r="AK2" s="22" t="s">
        <v>340</v>
      </c>
      <c r="AL2" s="22" t="s">
        <v>341</v>
      </c>
      <c r="AM2" s="22" t="s">
        <v>342</v>
      </c>
      <c r="AN2" s="22" t="s">
        <v>343</v>
      </c>
      <c r="AO2" s="22" t="s">
        <v>344</v>
      </c>
      <c r="AP2" s="22" t="s">
        <v>345</v>
      </c>
      <c r="AQ2" s="22" t="s">
        <v>346</v>
      </c>
      <c r="AR2" s="22" t="s">
        <v>347</v>
      </c>
      <c r="AS2" s="22" t="s">
        <v>348</v>
      </c>
      <c r="AT2" s="22" t="s">
        <v>349</v>
      </c>
      <c r="AU2" s="22" t="s">
        <v>350</v>
      </c>
      <c r="AV2" s="22" t="s">
        <v>351</v>
      </c>
      <c r="AW2" s="22" t="s">
        <v>352</v>
      </c>
      <c r="AX2" s="22" t="s">
        <v>353</v>
      </c>
      <c r="AY2" s="22" t="s">
        <v>354</v>
      </c>
      <c r="AZ2" s="22" t="s">
        <v>355</v>
      </c>
      <c r="BA2" s="22" t="s">
        <v>356</v>
      </c>
      <c r="BB2" s="22" t="s">
        <v>357</v>
      </c>
      <c r="BC2" s="22" t="s">
        <v>358</v>
      </c>
      <c r="BD2" s="22" t="s">
        <v>359</v>
      </c>
      <c r="BE2" s="22" t="s">
        <v>360</v>
      </c>
      <c r="BF2" s="22" t="s">
        <v>422</v>
      </c>
      <c r="BG2" s="22" t="s">
        <v>423</v>
      </c>
    </row>
    <row r="3" spans="1:59" x14ac:dyDescent="0.25">
      <c r="B3" s="3" t="s">
        <v>9</v>
      </c>
      <c r="P3" s="18"/>
    </row>
    <row r="4" spans="1:59" x14ac:dyDescent="0.25">
      <c r="A4" t="s">
        <v>162</v>
      </c>
      <c r="B4" s="4" t="s">
        <v>0</v>
      </c>
      <c r="C4" s="12">
        <v>57</v>
      </c>
      <c r="D4" s="12">
        <v>29</v>
      </c>
      <c r="E4" s="12">
        <v>32</v>
      </c>
      <c r="F4" s="12">
        <v>49</v>
      </c>
      <c r="G4" s="12">
        <v>50</v>
      </c>
      <c r="H4" s="12">
        <v>20</v>
      </c>
      <c r="I4" s="12">
        <v>23</v>
      </c>
      <c r="J4" s="12">
        <v>35</v>
      </c>
      <c r="K4" s="12">
        <v>40</v>
      </c>
      <c r="L4" s="12">
        <v>34</v>
      </c>
      <c r="M4" s="12">
        <v>30</v>
      </c>
      <c r="N4" s="12">
        <v>42</v>
      </c>
      <c r="O4" s="12">
        <v>18</v>
      </c>
      <c r="P4" s="18">
        <v>23</v>
      </c>
      <c r="Q4" s="12">
        <v>29</v>
      </c>
      <c r="R4" s="12">
        <v>30</v>
      </c>
      <c r="S4" s="12">
        <v>22</v>
      </c>
      <c r="T4" s="12">
        <v>25</v>
      </c>
      <c r="U4" s="12">
        <v>25</v>
      </c>
      <c r="V4" s="12">
        <v>57</v>
      </c>
      <c r="W4" s="12">
        <v>21</v>
      </c>
      <c r="X4" s="12">
        <v>27</v>
      </c>
      <c r="Y4" s="12">
        <v>25</v>
      </c>
      <c r="Z4" s="12">
        <v>60</v>
      </c>
      <c r="AA4" s="12">
        <v>21</v>
      </c>
      <c r="AB4" s="12">
        <v>32</v>
      </c>
      <c r="AC4" s="12">
        <v>29</v>
      </c>
      <c r="AD4" s="12">
        <v>25</v>
      </c>
      <c r="AE4" s="12">
        <v>20</v>
      </c>
      <c r="AF4" s="12">
        <v>22</v>
      </c>
      <c r="AG4" s="12">
        <v>64</v>
      </c>
      <c r="AH4" s="12">
        <v>20</v>
      </c>
      <c r="AI4" s="12">
        <v>34</v>
      </c>
      <c r="AJ4" s="12">
        <v>51</v>
      </c>
      <c r="AK4" s="12">
        <v>21</v>
      </c>
      <c r="AL4" s="12">
        <v>38</v>
      </c>
      <c r="AM4" s="12">
        <v>20</v>
      </c>
      <c r="AN4" s="12">
        <v>23</v>
      </c>
      <c r="AO4" s="12">
        <v>22</v>
      </c>
      <c r="AP4" s="12">
        <v>20</v>
      </c>
      <c r="AQ4" s="12">
        <v>36</v>
      </c>
      <c r="AR4" s="12">
        <v>34</v>
      </c>
      <c r="AS4" s="12">
        <v>32</v>
      </c>
      <c r="AT4" s="12">
        <v>33</v>
      </c>
      <c r="AU4" s="12">
        <v>42</v>
      </c>
      <c r="AV4" s="12">
        <v>38</v>
      </c>
      <c r="AW4" s="12">
        <v>24</v>
      </c>
      <c r="AX4" s="12">
        <v>23</v>
      </c>
      <c r="AY4" s="12">
        <v>24</v>
      </c>
      <c r="AZ4" s="12">
        <v>20</v>
      </c>
      <c r="BA4" s="12">
        <v>19</v>
      </c>
      <c r="BB4" s="12">
        <v>35</v>
      </c>
      <c r="BC4" s="12">
        <v>22</v>
      </c>
      <c r="BD4" s="12">
        <v>27</v>
      </c>
      <c r="BE4" s="12">
        <v>31</v>
      </c>
      <c r="BF4" s="12">
        <v>30</v>
      </c>
      <c r="BG4" s="12">
        <v>52</v>
      </c>
    </row>
    <row r="5" spans="1:59" x14ac:dyDescent="0.25">
      <c r="A5" t="s">
        <v>163</v>
      </c>
      <c r="B5" s="4" t="s">
        <v>1</v>
      </c>
      <c r="C5" s="12">
        <v>1</v>
      </c>
      <c r="D5" s="12">
        <v>0</v>
      </c>
      <c r="E5" s="12">
        <v>1</v>
      </c>
      <c r="F5" s="12">
        <v>0</v>
      </c>
      <c r="G5" s="12">
        <v>0</v>
      </c>
      <c r="H5" s="12">
        <v>0</v>
      </c>
      <c r="I5" s="12">
        <v>1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8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1</v>
      </c>
      <c r="AF5" s="12">
        <v>0</v>
      </c>
      <c r="AG5" s="12">
        <v>0</v>
      </c>
      <c r="AH5" s="12">
        <v>0</v>
      </c>
      <c r="AI5" s="12">
        <v>1</v>
      </c>
      <c r="AJ5" s="12">
        <v>1</v>
      </c>
      <c r="AK5" s="12">
        <v>0</v>
      </c>
      <c r="AL5" s="12">
        <v>1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1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1</v>
      </c>
      <c r="BB5" s="12">
        <v>0</v>
      </c>
      <c r="BC5" s="12">
        <v>0</v>
      </c>
      <c r="BD5" s="12">
        <v>0</v>
      </c>
      <c r="BE5" s="12">
        <v>0</v>
      </c>
      <c r="BF5" s="12">
        <v>1</v>
      </c>
      <c r="BG5" s="12">
        <v>1</v>
      </c>
    </row>
    <row r="6" spans="1:59" x14ac:dyDescent="0.25">
      <c r="A6" t="s">
        <v>164</v>
      </c>
      <c r="B6" s="4" t="s">
        <v>2</v>
      </c>
      <c r="C6" s="12">
        <v>0</v>
      </c>
      <c r="D6" s="12">
        <v>0</v>
      </c>
      <c r="E6" s="12">
        <v>0</v>
      </c>
      <c r="F6" s="12">
        <v>1</v>
      </c>
      <c r="G6" s="12">
        <v>0</v>
      </c>
      <c r="H6" s="12">
        <v>1</v>
      </c>
      <c r="I6" s="12">
        <v>1</v>
      </c>
      <c r="J6" s="12">
        <v>1</v>
      </c>
      <c r="K6" s="12">
        <v>1</v>
      </c>
      <c r="L6" s="12">
        <v>1</v>
      </c>
      <c r="M6" s="12">
        <v>1</v>
      </c>
      <c r="N6" s="12">
        <v>0</v>
      </c>
      <c r="O6" s="12">
        <v>0</v>
      </c>
      <c r="P6" s="18">
        <v>1</v>
      </c>
      <c r="Q6" s="12">
        <v>0</v>
      </c>
      <c r="R6" s="12">
        <v>1</v>
      </c>
      <c r="S6" s="12">
        <v>1</v>
      </c>
      <c r="T6" s="12">
        <v>1</v>
      </c>
      <c r="U6" s="12">
        <v>1</v>
      </c>
      <c r="V6" s="12">
        <v>0</v>
      </c>
      <c r="W6" s="12">
        <v>1</v>
      </c>
      <c r="X6" s="12">
        <v>1</v>
      </c>
      <c r="Y6" s="12">
        <v>1</v>
      </c>
      <c r="Z6" s="12">
        <v>0</v>
      </c>
      <c r="AA6" s="12">
        <v>1</v>
      </c>
      <c r="AB6" s="12">
        <v>1</v>
      </c>
      <c r="AC6" s="12">
        <v>1</v>
      </c>
      <c r="AD6" s="12">
        <v>1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1</v>
      </c>
      <c r="AL6" s="12">
        <v>1</v>
      </c>
      <c r="AM6" s="12">
        <v>1</v>
      </c>
      <c r="AN6" s="12">
        <v>1</v>
      </c>
      <c r="AO6" s="12">
        <v>0</v>
      </c>
      <c r="AP6" s="12">
        <v>1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1</v>
      </c>
      <c r="AX6" s="12">
        <v>1</v>
      </c>
      <c r="AY6" s="12">
        <v>1</v>
      </c>
      <c r="AZ6" s="12">
        <v>1</v>
      </c>
      <c r="BA6" s="12">
        <v>0</v>
      </c>
      <c r="BB6" s="12">
        <v>1</v>
      </c>
      <c r="BC6" s="12">
        <v>0</v>
      </c>
      <c r="BD6" s="12">
        <v>1</v>
      </c>
      <c r="BE6" s="12">
        <v>0</v>
      </c>
      <c r="BF6" s="12">
        <v>0</v>
      </c>
      <c r="BG6" s="12">
        <v>0</v>
      </c>
    </row>
    <row r="7" spans="1:59" x14ac:dyDescent="0.25">
      <c r="A7" t="s">
        <v>165</v>
      </c>
      <c r="B7" s="4" t="s">
        <v>3</v>
      </c>
      <c r="C7" s="12">
        <v>0</v>
      </c>
      <c r="D7" s="12">
        <v>1</v>
      </c>
      <c r="E7" s="12">
        <v>0</v>
      </c>
      <c r="F7" s="12">
        <v>1</v>
      </c>
      <c r="G7" s="12">
        <v>0</v>
      </c>
      <c r="H7" s="12">
        <v>0</v>
      </c>
      <c r="I7" s="12">
        <v>1</v>
      </c>
      <c r="J7" s="12">
        <v>0</v>
      </c>
      <c r="K7" s="12">
        <v>1</v>
      </c>
      <c r="L7" s="12">
        <v>1</v>
      </c>
      <c r="M7" s="12">
        <v>1</v>
      </c>
      <c r="N7" s="12">
        <v>1</v>
      </c>
      <c r="O7" s="12">
        <v>0</v>
      </c>
      <c r="P7" s="18">
        <v>0</v>
      </c>
      <c r="Q7" s="12">
        <v>1</v>
      </c>
      <c r="R7" s="12">
        <v>0</v>
      </c>
      <c r="S7" s="12">
        <v>0</v>
      </c>
      <c r="T7" s="12">
        <v>1</v>
      </c>
      <c r="U7" s="12">
        <v>1</v>
      </c>
      <c r="V7" s="12">
        <v>0</v>
      </c>
      <c r="W7" s="12">
        <v>1</v>
      </c>
      <c r="X7" s="12">
        <v>1</v>
      </c>
      <c r="Y7" s="12">
        <v>1</v>
      </c>
      <c r="Z7" s="12">
        <v>1</v>
      </c>
      <c r="AA7" s="12">
        <v>1</v>
      </c>
      <c r="AB7" s="12">
        <v>0</v>
      </c>
      <c r="AC7" s="12">
        <v>1</v>
      </c>
      <c r="AD7" s="12">
        <v>1</v>
      </c>
      <c r="AE7" s="12">
        <v>0</v>
      </c>
      <c r="AF7" s="12">
        <v>1</v>
      </c>
      <c r="AG7" s="12">
        <v>1</v>
      </c>
      <c r="AH7" s="12">
        <v>0</v>
      </c>
      <c r="AI7" s="12">
        <v>1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1</v>
      </c>
      <c r="AQ7" s="12">
        <v>1</v>
      </c>
      <c r="AR7" s="12">
        <v>1</v>
      </c>
      <c r="AS7" s="12">
        <v>0</v>
      </c>
      <c r="AT7" s="12">
        <v>1</v>
      </c>
      <c r="AU7" s="12">
        <v>1</v>
      </c>
      <c r="AV7" s="12">
        <v>1</v>
      </c>
      <c r="AW7" s="12">
        <v>1</v>
      </c>
      <c r="AX7" s="12">
        <v>0</v>
      </c>
      <c r="AY7" s="12">
        <v>0</v>
      </c>
      <c r="AZ7" s="12">
        <v>0</v>
      </c>
      <c r="BA7" s="12">
        <v>1</v>
      </c>
      <c r="BB7" s="12">
        <v>1</v>
      </c>
      <c r="BC7" s="12">
        <v>1</v>
      </c>
      <c r="BD7" s="12">
        <v>0</v>
      </c>
      <c r="BE7" s="12">
        <v>0</v>
      </c>
      <c r="BF7" s="12">
        <v>1</v>
      </c>
      <c r="BG7" s="12">
        <v>1</v>
      </c>
    </row>
    <row r="8" spans="1:59" x14ac:dyDescent="0.25">
      <c r="A8" t="s">
        <v>182</v>
      </c>
      <c r="B8" s="4" t="s">
        <v>4</v>
      </c>
      <c r="C8" s="12">
        <v>2</v>
      </c>
      <c r="D8" s="12">
        <v>1</v>
      </c>
      <c r="E8" s="12">
        <v>1</v>
      </c>
      <c r="F8" s="12">
        <v>2</v>
      </c>
      <c r="G8" s="12">
        <v>2</v>
      </c>
      <c r="H8" s="12">
        <v>1</v>
      </c>
      <c r="I8" s="12">
        <v>1</v>
      </c>
      <c r="J8" s="12">
        <v>2</v>
      </c>
      <c r="K8" s="12">
        <v>2</v>
      </c>
      <c r="L8" s="12">
        <v>2</v>
      </c>
      <c r="M8" s="12">
        <v>2</v>
      </c>
      <c r="N8" s="12">
        <v>1</v>
      </c>
      <c r="O8" s="12">
        <v>1</v>
      </c>
      <c r="P8" s="18">
        <v>1</v>
      </c>
      <c r="Q8" s="12">
        <v>1</v>
      </c>
      <c r="R8" s="12">
        <v>1</v>
      </c>
      <c r="S8" s="12">
        <v>2</v>
      </c>
      <c r="T8" s="12">
        <v>2</v>
      </c>
      <c r="U8" s="12">
        <v>2</v>
      </c>
      <c r="V8" s="12">
        <v>1</v>
      </c>
      <c r="W8" s="12">
        <v>1</v>
      </c>
      <c r="X8" s="12">
        <v>2</v>
      </c>
      <c r="Y8" s="12">
        <v>2</v>
      </c>
      <c r="Z8" s="12">
        <v>2</v>
      </c>
      <c r="AA8" s="12">
        <v>1</v>
      </c>
      <c r="AB8" s="12">
        <v>2</v>
      </c>
      <c r="AC8" s="12">
        <v>3</v>
      </c>
      <c r="AD8" s="12">
        <v>2</v>
      </c>
      <c r="AE8" s="12">
        <v>1</v>
      </c>
      <c r="AF8" s="12">
        <v>1</v>
      </c>
      <c r="AG8" s="12">
        <v>0</v>
      </c>
      <c r="AH8" s="12">
        <v>1</v>
      </c>
      <c r="AI8" s="12">
        <v>2</v>
      </c>
      <c r="AJ8" s="12">
        <v>1</v>
      </c>
      <c r="AK8" s="12">
        <v>1</v>
      </c>
      <c r="AL8" s="12">
        <v>0</v>
      </c>
      <c r="AM8" s="12">
        <v>1</v>
      </c>
      <c r="AN8" s="12">
        <v>1</v>
      </c>
      <c r="AO8" s="12">
        <v>1</v>
      </c>
      <c r="AP8" s="12">
        <v>1</v>
      </c>
      <c r="AQ8" s="12">
        <v>2</v>
      </c>
      <c r="AR8" s="12">
        <v>1</v>
      </c>
      <c r="AS8" s="12">
        <v>1</v>
      </c>
      <c r="AT8" s="12">
        <v>1</v>
      </c>
      <c r="AU8" s="12">
        <v>1</v>
      </c>
      <c r="AV8" s="12">
        <v>1</v>
      </c>
      <c r="AW8" s="12">
        <v>2</v>
      </c>
      <c r="AX8" s="12">
        <v>2</v>
      </c>
      <c r="AY8" s="12">
        <v>2</v>
      </c>
      <c r="AZ8" s="12">
        <v>1</v>
      </c>
      <c r="BA8" s="12">
        <v>1</v>
      </c>
      <c r="BB8" s="12">
        <v>2</v>
      </c>
      <c r="BC8" s="12">
        <v>1</v>
      </c>
      <c r="BD8" s="12">
        <v>2</v>
      </c>
      <c r="BE8" s="12">
        <v>4</v>
      </c>
      <c r="BF8" s="12">
        <v>3</v>
      </c>
      <c r="BG8" s="12">
        <v>3</v>
      </c>
    </row>
    <row r="9" spans="1:59" x14ac:dyDescent="0.25">
      <c r="A9" t="s">
        <v>183</v>
      </c>
      <c r="B9" s="4" t="s">
        <v>5</v>
      </c>
      <c r="C9" s="12">
        <v>0</v>
      </c>
      <c r="D9" s="12">
        <v>1</v>
      </c>
      <c r="E9" s="12">
        <v>1</v>
      </c>
      <c r="F9" s="12">
        <v>1</v>
      </c>
      <c r="G9" s="12">
        <v>1</v>
      </c>
      <c r="H9" s="12">
        <v>1</v>
      </c>
      <c r="I9" s="12">
        <v>1</v>
      </c>
      <c r="J9" s="12">
        <v>0</v>
      </c>
      <c r="K9" s="12">
        <v>1</v>
      </c>
      <c r="L9" s="12">
        <v>1</v>
      </c>
      <c r="M9" s="12">
        <v>1</v>
      </c>
      <c r="N9" s="12">
        <v>1</v>
      </c>
      <c r="O9" s="12">
        <v>0</v>
      </c>
      <c r="P9" s="18">
        <v>1</v>
      </c>
      <c r="Q9" s="12">
        <v>1</v>
      </c>
      <c r="R9" s="12">
        <v>1</v>
      </c>
      <c r="S9" s="12">
        <v>0</v>
      </c>
      <c r="T9" s="12">
        <v>1</v>
      </c>
      <c r="U9" s="12">
        <v>1</v>
      </c>
      <c r="V9" s="12">
        <v>1</v>
      </c>
      <c r="W9" s="12">
        <v>0</v>
      </c>
      <c r="X9" s="12">
        <v>1</v>
      </c>
      <c r="Y9" s="12">
        <v>4</v>
      </c>
      <c r="Z9" s="12">
        <v>6</v>
      </c>
      <c r="AA9" s="12">
        <v>1</v>
      </c>
      <c r="AB9" s="12">
        <v>1</v>
      </c>
      <c r="AC9" s="12">
        <v>1</v>
      </c>
      <c r="AD9" s="12">
        <v>1</v>
      </c>
      <c r="AE9" s="12">
        <v>1</v>
      </c>
      <c r="AF9" s="12">
        <v>5</v>
      </c>
      <c r="AG9" s="12">
        <v>0</v>
      </c>
      <c r="AH9" s="12">
        <v>6</v>
      </c>
      <c r="AI9" s="12">
        <v>0</v>
      </c>
      <c r="AJ9" s="12">
        <v>0</v>
      </c>
      <c r="AK9" s="12">
        <v>0</v>
      </c>
      <c r="AL9" s="12">
        <v>5</v>
      </c>
      <c r="AM9" s="12">
        <v>1</v>
      </c>
      <c r="AN9" s="12">
        <v>1</v>
      </c>
      <c r="AO9" s="12">
        <v>0</v>
      </c>
      <c r="AP9" s="12">
        <v>0</v>
      </c>
      <c r="AQ9" s="12">
        <v>0</v>
      </c>
      <c r="AR9" s="12">
        <v>1</v>
      </c>
      <c r="AS9" s="12">
        <v>1</v>
      </c>
      <c r="AT9" s="12">
        <v>5</v>
      </c>
      <c r="AU9" s="12">
        <v>6</v>
      </c>
      <c r="AV9" s="12">
        <v>1</v>
      </c>
      <c r="AW9" s="12">
        <v>1</v>
      </c>
      <c r="AX9" s="12">
        <v>6</v>
      </c>
      <c r="AY9" s="12">
        <v>4</v>
      </c>
      <c r="AZ9" s="12">
        <v>1</v>
      </c>
      <c r="BA9" s="12">
        <v>1</v>
      </c>
      <c r="BB9" s="12">
        <v>1</v>
      </c>
      <c r="BC9" s="12">
        <v>0</v>
      </c>
      <c r="BD9" s="12">
        <v>1</v>
      </c>
      <c r="BE9" s="12">
        <v>2</v>
      </c>
      <c r="BF9" s="12">
        <v>1</v>
      </c>
      <c r="BG9" s="12">
        <v>1</v>
      </c>
    </row>
    <row r="10" spans="1:59" x14ac:dyDescent="0.25">
      <c r="A10" t="s">
        <v>189</v>
      </c>
      <c r="B10" s="4" t="s">
        <v>6</v>
      </c>
      <c r="C10" s="12">
        <v>1</v>
      </c>
      <c r="D10" s="12">
        <v>0</v>
      </c>
      <c r="E10" s="12">
        <v>0</v>
      </c>
      <c r="F10" s="12">
        <v>1</v>
      </c>
      <c r="G10" s="12">
        <v>0</v>
      </c>
      <c r="H10" s="12">
        <v>0</v>
      </c>
      <c r="I10" s="12">
        <v>1</v>
      </c>
      <c r="J10" s="12">
        <v>0</v>
      </c>
      <c r="K10" s="12">
        <v>0</v>
      </c>
      <c r="L10" s="12">
        <v>0</v>
      </c>
      <c r="M10" s="12">
        <v>1</v>
      </c>
      <c r="N10" s="12">
        <v>0</v>
      </c>
      <c r="O10" s="12">
        <v>0</v>
      </c>
      <c r="P10" s="18">
        <v>0</v>
      </c>
      <c r="Q10" s="12">
        <v>1</v>
      </c>
      <c r="R10" s="12">
        <v>1</v>
      </c>
      <c r="S10" s="12">
        <v>1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1</v>
      </c>
      <c r="Z10" s="12">
        <v>1</v>
      </c>
      <c r="AA10" s="12">
        <v>0</v>
      </c>
      <c r="AB10" s="12">
        <v>1</v>
      </c>
      <c r="AC10" s="12">
        <v>0</v>
      </c>
      <c r="AD10" s="12">
        <v>0</v>
      </c>
      <c r="AE10" s="12">
        <v>1</v>
      </c>
      <c r="AF10" s="12">
        <v>0</v>
      </c>
      <c r="AG10" s="12">
        <v>1</v>
      </c>
      <c r="AH10" s="12">
        <v>1</v>
      </c>
      <c r="AI10" s="12">
        <v>1</v>
      </c>
      <c r="AJ10" s="12">
        <v>1</v>
      </c>
      <c r="AK10" s="12">
        <v>0</v>
      </c>
      <c r="AL10" s="12">
        <v>1</v>
      </c>
      <c r="AM10" s="12">
        <v>0</v>
      </c>
      <c r="AN10" s="12">
        <v>0</v>
      </c>
      <c r="AO10" s="12">
        <v>0</v>
      </c>
      <c r="AP10" s="12">
        <v>1</v>
      </c>
      <c r="AQ10" s="12">
        <v>0</v>
      </c>
      <c r="AR10" s="12">
        <v>0</v>
      </c>
      <c r="AS10" s="12">
        <v>1</v>
      </c>
      <c r="AT10" s="12">
        <v>1</v>
      </c>
      <c r="AU10" s="12">
        <v>0</v>
      </c>
      <c r="AV10" s="12">
        <v>0</v>
      </c>
      <c r="AW10" s="12">
        <v>0</v>
      </c>
      <c r="AX10" s="12">
        <v>1</v>
      </c>
      <c r="AY10" s="12">
        <v>0</v>
      </c>
      <c r="AZ10" s="12">
        <v>1</v>
      </c>
      <c r="BA10" s="12">
        <v>0</v>
      </c>
      <c r="BB10" s="12">
        <v>0</v>
      </c>
      <c r="BC10" s="12">
        <v>1</v>
      </c>
      <c r="BD10" s="12">
        <v>0</v>
      </c>
      <c r="BE10" s="12">
        <v>0</v>
      </c>
      <c r="BF10" s="12">
        <v>0</v>
      </c>
      <c r="BG10" s="12">
        <v>1</v>
      </c>
    </row>
    <row r="11" spans="1:59" x14ac:dyDescent="0.25">
      <c r="A11" t="s">
        <v>194</v>
      </c>
      <c r="B11" s="4" t="s">
        <v>7</v>
      </c>
      <c r="D11" s="12">
        <v>0</v>
      </c>
      <c r="E11" s="12">
        <v>1</v>
      </c>
      <c r="G11" s="12">
        <v>0</v>
      </c>
      <c r="H11" s="12">
        <v>2</v>
      </c>
      <c r="J11" s="12">
        <v>1</v>
      </c>
      <c r="K11" s="12">
        <v>1</v>
      </c>
      <c r="L11" s="12">
        <v>1</v>
      </c>
      <c r="N11" s="12">
        <v>0</v>
      </c>
      <c r="O11" s="12">
        <v>1</v>
      </c>
      <c r="P11" s="18">
        <v>0</v>
      </c>
      <c r="T11" s="12">
        <v>1</v>
      </c>
      <c r="U11" s="12">
        <v>0</v>
      </c>
      <c r="V11" s="12">
        <v>2</v>
      </c>
      <c r="W11" s="12">
        <v>1</v>
      </c>
      <c r="X11" s="12">
        <v>0</v>
      </c>
      <c r="Z11" s="12"/>
      <c r="AA11" s="12">
        <v>0</v>
      </c>
      <c r="AB11" s="12"/>
      <c r="AC11" s="12">
        <v>0</v>
      </c>
      <c r="AD11" s="12">
        <v>0</v>
      </c>
      <c r="AF11" s="12">
        <v>0</v>
      </c>
      <c r="AK11" s="12">
        <v>0</v>
      </c>
      <c r="AM11" s="12">
        <v>2</v>
      </c>
      <c r="AN11" s="12">
        <v>1</v>
      </c>
      <c r="AO11" s="12">
        <v>1</v>
      </c>
      <c r="AQ11" s="12">
        <v>0</v>
      </c>
      <c r="AR11" s="12">
        <v>1</v>
      </c>
      <c r="AU11" s="12">
        <v>1</v>
      </c>
      <c r="AV11" s="12">
        <v>1</v>
      </c>
      <c r="AW11" s="12">
        <v>1</v>
      </c>
      <c r="AY11" s="12">
        <v>0</v>
      </c>
      <c r="BA11" s="12">
        <v>1</v>
      </c>
      <c r="BB11" s="12">
        <v>0</v>
      </c>
      <c r="BD11" s="12">
        <v>1</v>
      </c>
      <c r="BE11" s="12">
        <v>2</v>
      </c>
      <c r="BF11" s="12">
        <v>1</v>
      </c>
    </row>
    <row r="12" spans="1:59" x14ac:dyDescent="0.25">
      <c r="A12" t="s">
        <v>199</v>
      </c>
      <c r="B12" s="4" t="s">
        <v>8</v>
      </c>
      <c r="C12" s="12">
        <v>2</v>
      </c>
      <c r="D12" s="12">
        <v>2</v>
      </c>
      <c r="E12" s="12">
        <v>2</v>
      </c>
      <c r="F12" s="12">
        <v>2</v>
      </c>
      <c r="G12" s="12">
        <v>2</v>
      </c>
      <c r="H12" s="12">
        <v>2</v>
      </c>
      <c r="I12" s="12">
        <v>2</v>
      </c>
      <c r="J12" s="12">
        <v>0</v>
      </c>
      <c r="K12" s="12">
        <v>2</v>
      </c>
      <c r="L12" s="12">
        <v>2</v>
      </c>
      <c r="M12" s="12">
        <v>0</v>
      </c>
      <c r="N12" s="12">
        <v>2</v>
      </c>
      <c r="O12" s="12">
        <v>2</v>
      </c>
      <c r="P12" s="18">
        <v>2</v>
      </c>
      <c r="Q12" s="12">
        <v>2</v>
      </c>
      <c r="R12" s="12">
        <v>0</v>
      </c>
      <c r="S12" s="12">
        <v>2</v>
      </c>
      <c r="T12" s="12">
        <v>2</v>
      </c>
      <c r="U12" s="12">
        <v>2</v>
      </c>
      <c r="V12" s="12">
        <v>2</v>
      </c>
      <c r="W12" s="12">
        <v>2</v>
      </c>
      <c r="X12" s="12">
        <v>2</v>
      </c>
      <c r="Y12" s="12">
        <v>2</v>
      </c>
      <c r="Z12" s="12">
        <v>3</v>
      </c>
      <c r="AA12" s="12">
        <v>2</v>
      </c>
      <c r="AB12" s="12">
        <v>2</v>
      </c>
      <c r="AC12" s="12">
        <v>0</v>
      </c>
      <c r="AD12" s="12">
        <v>2</v>
      </c>
      <c r="AE12" s="12">
        <v>2</v>
      </c>
      <c r="AF12" s="12">
        <v>0</v>
      </c>
      <c r="AG12" s="12">
        <v>2</v>
      </c>
      <c r="AH12" s="12">
        <v>2</v>
      </c>
      <c r="AI12" s="12">
        <v>2</v>
      </c>
      <c r="AJ12" s="12">
        <v>3</v>
      </c>
      <c r="AK12" s="12">
        <v>2</v>
      </c>
      <c r="AL12" s="12">
        <v>2</v>
      </c>
      <c r="AM12" s="12">
        <v>2</v>
      </c>
      <c r="AN12" s="12">
        <v>2</v>
      </c>
      <c r="AO12" s="12">
        <v>2</v>
      </c>
      <c r="AP12" s="12">
        <v>2</v>
      </c>
      <c r="AQ12" s="12">
        <v>2</v>
      </c>
      <c r="AR12" s="12">
        <v>2</v>
      </c>
      <c r="AS12" s="12">
        <v>2</v>
      </c>
      <c r="AT12" s="12">
        <v>2</v>
      </c>
      <c r="AU12" s="12">
        <v>2</v>
      </c>
      <c r="AV12" s="12">
        <v>2</v>
      </c>
      <c r="AW12" s="12">
        <v>1</v>
      </c>
      <c r="AX12" s="12">
        <v>2</v>
      </c>
      <c r="AY12" s="12">
        <v>3</v>
      </c>
      <c r="AZ12" s="12">
        <v>0</v>
      </c>
      <c r="BA12" s="12">
        <v>2</v>
      </c>
      <c r="BB12" s="12">
        <v>2</v>
      </c>
      <c r="BC12" s="12">
        <v>0</v>
      </c>
      <c r="BD12" s="12">
        <v>1</v>
      </c>
      <c r="BE12" s="12">
        <v>2</v>
      </c>
      <c r="BF12" s="12">
        <v>1</v>
      </c>
      <c r="BG12" s="12">
        <v>2</v>
      </c>
    </row>
    <row r="13" spans="1:59" x14ac:dyDescent="0.25">
      <c r="A13" t="s">
        <v>205</v>
      </c>
      <c r="B13" s="4" t="s">
        <v>144</v>
      </c>
      <c r="C13" s="12">
        <v>37</v>
      </c>
      <c r="D13" s="12">
        <v>545</v>
      </c>
      <c r="E13" s="12">
        <v>36</v>
      </c>
      <c r="F13" s="12">
        <v>673</v>
      </c>
      <c r="G13" s="12">
        <v>279</v>
      </c>
      <c r="H13" s="12">
        <v>53</v>
      </c>
      <c r="I13" s="12">
        <v>190</v>
      </c>
      <c r="J13" s="12">
        <v>101</v>
      </c>
      <c r="K13" s="12">
        <v>119</v>
      </c>
      <c r="L13" s="12">
        <v>105</v>
      </c>
      <c r="M13" s="12">
        <v>47</v>
      </c>
      <c r="N13" s="12">
        <v>329</v>
      </c>
      <c r="O13" s="12">
        <v>30</v>
      </c>
      <c r="P13" s="18">
        <v>81</v>
      </c>
      <c r="Q13" s="12">
        <v>96</v>
      </c>
      <c r="R13" s="12">
        <v>111</v>
      </c>
      <c r="S13" s="12">
        <v>114</v>
      </c>
      <c r="T13" s="12">
        <v>155</v>
      </c>
      <c r="U13" s="12">
        <v>44</v>
      </c>
      <c r="V13" s="12">
        <v>316</v>
      </c>
      <c r="W13" s="12">
        <v>47</v>
      </c>
      <c r="X13" s="12">
        <v>403</v>
      </c>
      <c r="Y13" s="12">
        <v>68</v>
      </c>
      <c r="Z13" s="12">
        <v>168</v>
      </c>
      <c r="AA13" s="12">
        <v>40</v>
      </c>
      <c r="AB13" s="12">
        <v>110</v>
      </c>
      <c r="AC13" s="12">
        <v>11</v>
      </c>
      <c r="AD13" s="12">
        <v>52</v>
      </c>
      <c r="AE13" s="12">
        <v>171</v>
      </c>
      <c r="AF13" s="12">
        <v>17</v>
      </c>
      <c r="AG13" s="12">
        <v>182</v>
      </c>
      <c r="AH13" s="12">
        <v>107</v>
      </c>
      <c r="AI13" s="12">
        <v>92</v>
      </c>
      <c r="AJ13" s="12">
        <v>131</v>
      </c>
      <c r="AK13" s="12">
        <v>63</v>
      </c>
      <c r="AL13" s="12">
        <v>233</v>
      </c>
      <c r="AM13" s="12">
        <v>157</v>
      </c>
      <c r="AN13" s="12">
        <v>24</v>
      </c>
      <c r="AO13" s="12">
        <v>63</v>
      </c>
      <c r="AP13" s="12">
        <v>3</v>
      </c>
      <c r="AQ13" s="12">
        <v>53</v>
      </c>
      <c r="AR13" s="12">
        <v>50</v>
      </c>
      <c r="AS13" s="12">
        <v>94</v>
      </c>
      <c r="AT13" s="12">
        <v>313</v>
      </c>
      <c r="AU13" s="12">
        <v>124</v>
      </c>
      <c r="AV13" s="12">
        <v>36</v>
      </c>
      <c r="AW13" s="12">
        <v>158</v>
      </c>
      <c r="AX13" s="12">
        <v>174</v>
      </c>
      <c r="AY13" s="12">
        <v>2</v>
      </c>
      <c r="AZ13" s="12">
        <v>13</v>
      </c>
      <c r="BA13" s="12">
        <v>24</v>
      </c>
      <c r="BB13" s="12">
        <v>188</v>
      </c>
      <c r="BC13" s="12">
        <v>31</v>
      </c>
      <c r="BD13" s="12">
        <v>1</v>
      </c>
      <c r="BE13" s="12">
        <v>31</v>
      </c>
      <c r="BF13" s="12">
        <v>32</v>
      </c>
      <c r="BG13" s="12">
        <v>90</v>
      </c>
    </row>
    <row r="14" spans="1:59" x14ac:dyDescent="0.25">
      <c r="A14" t="s">
        <v>206</v>
      </c>
      <c r="B14" s="4" t="s">
        <v>112</v>
      </c>
      <c r="C14" s="12">
        <f>IF(C12=2,1,0)</f>
        <v>1</v>
      </c>
      <c r="D14" s="12">
        <f t="shared" ref="D14:AC14" si="0">IF(D12=2,1,0)</f>
        <v>1</v>
      </c>
      <c r="E14" s="12">
        <f t="shared" si="0"/>
        <v>1</v>
      </c>
      <c r="F14" s="12">
        <f t="shared" si="0"/>
        <v>1</v>
      </c>
      <c r="G14" s="12">
        <f t="shared" si="0"/>
        <v>1</v>
      </c>
      <c r="H14" s="12">
        <f t="shared" si="0"/>
        <v>1</v>
      </c>
      <c r="I14" s="12">
        <f t="shared" si="0"/>
        <v>1</v>
      </c>
      <c r="J14" s="12">
        <f t="shared" si="0"/>
        <v>0</v>
      </c>
      <c r="K14" s="12">
        <f t="shared" si="0"/>
        <v>1</v>
      </c>
      <c r="L14" s="12">
        <f t="shared" si="0"/>
        <v>1</v>
      </c>
      <c r="M14" s="12">
        <f t="shared" si="0"/>
        <v>0</v>
      </c>
      <c r="N14" s="12">
        <f t="shared" si="0"/>
        <v>1</v>
      </c>
      <c r="O14" s="12">
        <f t="shared" si="0"/>
        <v>1</v>
      </c>
      <c r="P14" s="12">
        <f t="shared" si="0"/>
        <v>1</v>
      </c>
      <c r="Q14" s="12">
        <f t="shared" si="0"/>
        <v>1</v>
      </c>
      <c r="R14" s="12">
        <f t="shared" si="0"/>
        <v>0</v>
      </c>
      <c r="S14" s="12">
        <f t="shared" si="0"/>
        <v>1</v>
      </c>
      <c r="T14" s="12">
        <f t="shared" si="0"/>
        <v>1</v>
      </c>
      <c r="U14" s="12">
        <f t="shared" si="0"/>
        <v>1</v>
      </c>
      <c r="V14" s="12">
        <f t="shared" si="0"/>
        <v>1</v>
      </c>
      <c r="W14" s="12">
        <f t="shared" si="0"/>
        <v>1</v>
      </c>
      <c r="X14" s="12">
        <f t="shared" si="0"/>
        <v>1</v>
      </c>
      <c r="Y14" s="12">
        <f t="shared" si="0"/>
        <v>1</v>
      </c>
      <c r="Z14" s="12">
        <f t="shared" si="0"/>
        <v>0</v>
      </c>
      <c r="AA14" s="12">
        <f t="shared" si="0"/>
        <v>1</v>
      </c>
      <c r="AB14" s="12">
        <f t="shared" si="0"/>
        <v>1</v>
      </c>
      <c r="AC14" s="12">
        <f t="shared" si="0"/>
        <v>0</v>
      </c>
      <c r="AD14" s="12">
        <f>IF(AD12=2,1,0)</f>
        <v>1</v>
      </c>
      <c r="AE14" s="12">
        <f t="shared" ref="AE14:BG14" si="1">IF(AE12=2,1,0)</f>
        <v>1</v>
      </c>
      <c r="AF14" s="12">
        <f t="shared" si="1"/>
        <v>0</v>
      </c>
      <c r="AG14" s="12">
        <f t="shared" si="1"/>
        <v>1</v>
      </c>
      <c r="AH14" s="12">
        <f t="shared" si="1"/>
        <v>1</v>
      </c>
      <c r="AI14" s="12">
        <f t="shared" si="1"/>
        <v>1</v>
      </c>
      <c r="AJ14" s="12">
        <f t="shared" si="1"/>
        <v>0</v>
      </c>
      <c r="AK14" s="12">
        <f t="shared" si="1"/>
        <v>1</v>
      </c>
      <c r="AL14" s="12">
        <f t="shared" si="1"/>
        <v>1</v>
      </c>
      <c r="AM14" s="12">
        <f t="shared" si="1"/>
        <v>1</v>
      </c>
      <c r="AN14" s="12">
        <f t="shared" si="1"/>
        <v>1</v>
      </c>
      <c r="AO14" s="12">
        <f t="shared" si="1"/>
        <v>1</v>
      </c>
      <c r="AP14" s="12">
        <f t="shared" si="1"/>
        <v>1</v>
      </c>
      <c r="AQ14" s="12">
        <f t="shared" si="1"/>
        <v>1</v>
      </c>
      <c r="AR14" s="12">
        <f t="shared" si="1"/>
        <v>1</v>
      </c>
      <c r="AS14" s="12">
        <f t="shared" si="1"/>
        <v>1</v>
      </c>
      <c r="AT14" s="12">
        <f t="shared" si="1"/>
        <v>1</v>
      </c>
      <c r="AU14" s="12">
        <f t="shared" si="1"/>
        <v>1</v>
      </c>
      <c r="AV14" s="12">
        <f t="shared" si="1"/>
        <v>1</v>
      </c>
      <c r="AW14" s="12">
        <f t="shared" si="1"/>
        <v>0</v>
      </c>
      <c r="AX14" s="12">
        <f t="shared" si="1"/>
        <v>1</v>
      </c>
      <c r="AY14" s="12">
        <f t="shared" si="1"/>
        <v>0</v>
      </c>
      <c r="AZ14" s="12">
        <f t="shared" si="1"/>
        <v>0</v>
      </c>
      <c r="BA14" s="12">
        <f t="shared" si="1"/>
        <v>1</v>
      </c>
      <c r="BB14" s="12">
        <f t="shared" si="1"/>
        <v>1</v>
      </c>
      <c r="BC14" s="12">
        <f t="shared" si="1"/>
        <v>0</v>
      </c>
      <c r="BD14" s="12">
        <f t="shared" si="1"/>
        <v>0</v>
      </c>
      <c r="BE14" s="12">
        <f t="shared" si="1"/>
        <v>1</v>
      </c>
      <c r="BF14" s="12">
        <f t="shared" si="1"/>
        <v>0</v>
      </c>
      <c r="BG14" s="12">
        <f t="shared" si="1"/>
        <v>1</v>
      </c>
    </row>
    <row r="15" spans="1:59" x14ac:dyDescent="0.25">
      <c r="B15" s="5" t="s">
        <v>10</v>
      </c>
      <c r="P15" s="18"/>
      <c r="AA15" s="12"/>
    </row>
    <row r="16" spans="1:59" x14ac:dyDescent="0.25">
      <c r="A16" t="s">
        <v>209</v>
      </c>
      <c r="B16" s="6" t="s">
        <v>26</v>
      </c>
      <c r="C16" s="12">
        <v>4</v>
      </c>
      <c r="D16" s="12">
        <v>4</v>
      </c>
      <c r="E16" s="12">
        <v>3</v>
      </c>
      <c r="F16" s="12">
        <v>8</v>
      </c>
      <c r="G16" s="12">
        <v>3</v>
      </c>
      <c r="H16" s="12">
        <v>3</v>
      </c>
      <c r="I16" s="12">
        <v>8</v>
      </c>
      <c r="J16" s="12">
        <v>7</v>
      </c>
      <c r="K16" s="12">
        <v>8</v>
      </c>
      <c r="L16" s="12">
        <v>4</v>
      </c>
      <c r="M16" s="12">
        <v>2</v>
      </c>
      <c r="N16" s="12">
        <v>5</v>
      </c>
      <c r="O16" s="12">
        <v>3</v>
      </c>
      <c r="P16" s="18">
        <v>11</v>
      </c>
      <c r="Q16" s="12">
        <v>8</v>
      </c>
      <c r="R16" s="12">
        <v>7</v>
      </c>
      <c r="S16" s="12">
        <v>5</v>
      </c>
      <c r="T16" s="12">
        <v>5</v>
      </c>
      <c r="U16" s="12">
        <v>15</v>
      </c>
      <c r="V16" s="12">
        <v>6</v>
      </c>
      <c r="W16" s="12">
        <v>6</v>
      </c>
      <c r="X16" s="12">
        <v>6</v>
      </c>
      <c r="Y16" s="12">
        <v>8</v>
      </c>
      <c r="Z16" s="12">
        <v>2</v>
      </c>
      <c r="AA16" s="12">
        <v>5</v>
      </c>
      <c r="AB16" s="12">
        <v>7</v>
      </c>
      <c r="AC16" s="12">
        <v>4</v>
      </c>
      <c r="AD16" s="12">
        <v>8</v>
      </c>
      <c r="AE16" s="12">
        <v>7</v>
      </c>
      <c r="AF16" s="12">
        <v>4</v>
      </c>
      <c r="AG16" s="12">
        <v>7</v>
      </c>
      <c r="AH16" s="12">
        <v>6</v>
      </c>
      <c r="AI16" s="12">
        <v>5</v>
      </c>
      <c r="AJ16" s="12">
        <v>3</v>
      </c>
      <c r="AK16" s="12">
        <v>4</v>
      </c>
      <c r="AL16" s="12">
        <v>7</v>
      </c>
      <c r="AM16" s="12">
        <v>3</v>
      </c>
      <c r="AN16" s="12">
        <v>5</v>
      </c>
      <c r="AO16" s="12">
        <v>8</v>
      </c>
      <c r="AP16" s="12">
        <v>5</v>
      </c>
      <c r="AQ16" s="12">
        <v>9</v>
      </c>
      <c r="AR16" s="12">
        <v>5</v>
      </c>
      <c r="AS16" s="12">
        <v>8</v>
      </c>
      <c r="AT16" s="12">
        <v>4</v>
      </c>
      <c r="AU16" s="12">
        <v>7</v>
      </c>
      <c r="AV16" s="12">
        <v>4</v>
      </c>
      <c r="AW16" s="12">
        <v>8</v>
      </c>
      <c r="AX16" s="12">
        <v>6</v>
      </c>
      <c r="AY16" s="12">
        <v>8</v>
      </c>
      <c r="AZ16" s="12">
        <v>8</v>
      </c>
      <c r="BA16" s="12">
        <v>5</v>
      </c>
      <c r="BB16" s="12">
        <v>4</v>
      </c>
      <c r="BC16" s="12">
        <v>6</v>
      </c>
      <c r="BD16" s="12">
        <v>5</v>
      </c>
      <c r="BE16" s="12">
        <v>5</v>
      </c>
      <c r="BF16" s="12">
        <v>5</v>
      </c>
      <c r="BG16" s="12">
        <v>7</v>
      </c>
    </row>
    <row r="17" spans="1:59" x14ac:dyDescent="0.25">
      <c r="A17" t="s">
        <v>210</v>
      </c>
      <c r="B17" s="6" t="s">
        <v>28</v>
      </c>
      <c r="C17" s="12">
        <v>10</v>
      </c>
      <c r="D17" s="12">
        <v>8</v>
      </c>
      <c r="E17" s="12">
        <v>11</v>
      </c>
      <c r="F17" s="12">
        <v>6</v>
      </c>
      <c r="G17" s="12">
        <v>11</v>
      </c>
      <c r="H17" s="12">
        <v>10</v>
      </c>
      <c r="I17" s="12">
        <v>5</v>
      </c>
      <c r="J17" s="12">
        <v>9</v>
      </c>
      <c r="K17" s="12">
        <v>6</v>
      </c>
      <c r="L17" s="12">
        <v>5</v>
      </c>
      <c r="M17" s="12">
        <v>10</v>
      </c>
      <c r="N17" s="12">
        <v>9</v>
      </c>
      <c r="O17" s="12">
        <v>6</v>
      </c>
      <c r="P17" s="18">
        <v>11</v>
      </c>
      <c r="Q17" s="12">
        <v>9</v>
      </c>
      <c r="R17" s="12">
        <v>9</v>
      </c>
      <c r="S17" s="12">
        <v>4</v>
      </c>
      <c r="T17" s="12">
        <v>4</v>
      </c>
      <c r="U17" s="12">
        <v>6</v>
      </c>
      <c r="V17" s="12">
        <v>2</v>
      </c>
      <c r="W17" s="12">
        <v>8</v>
      </c>
      <c r="X17" s="12">
        <v>9</v>
      </c>
      <c r="Y17" s="12">
        <v>9</v>
      </c>
      <c r="Z17" s="12">
        <v>5</v>
      </c>
      <c r="AA17" s="12">
        <v>6</v>
      </c>
      <c r="AB17" s="12">
        <v>4</v>
      </c>
      <c r="AC17" s="12">
        <v>6</v>
      </c>
      <c r="AD17" s="12">
        <v>5</v>
      </c>
      <c r="AE17" s="12">
        <v>9</v>
      </c>
      <c r="AF17" s="12">
        <v>10</v>
      </c>
      <c r="AG17" s="12">
        <v>9</v>
      </c>
      <c r="AH17" s="12">
        <v>8</v>
      </c>
      <c r="AI17" s="12">
        <v>9</v>
      </c>
      <c r="AJ17" s="12">
        <v>8</v>
      </c>
      <c r="AK17" s="12">
        <v>7</v>
      </c>
      <c r="AL17" s="12">
        <v>3</v>
      </c>
      <c r="AM17" s="12">
        <v>11</v>
      </c>
      <c r="AN17" s="12">
        <v>7</v>
      </c>
      <c r="AO17" s="12">
        <v>10</v>
      </c>
      <c r="AP17" s="12">
        <v>6</v>
      </c>
      <c r="AQ17" s="12">
        <v>5</v>
      </c>
      <c r="AR17" s="12">
        <v>6</v>
      </c>
      <c r="AS17" s="12">
        <v>10</v>
      </c>
      <c r="AT17" s="12">
        <v>2</v>
      </c>
      <c r="AU17" s="12">
        <v>11</v>
      </c>
      <c r="AV17" s="12">
        <v>11</v>
      </c>
      <c r="AW17" s="12">
        <v>9</v>
      </c>
      <c r="AX17" s="12">
        <v>9</v>
      </c>
      <c r="AY17" s="12">
        <v>3</v>
      </c>
      <c r="AZ17" s="12">
        <v>8</v>
      </c>
      <c r="BA17" s="12">
        <v>11</v>
      </c>
      <c r="BB17" s="12">
        <v>9</v>
      </c>
      <c r="BC17" s="12">
        <v>9</v>
      </c>
      <c r="BD17" s="12">
        <v>9</v>
      </c>
      <c r="BE17" s="12">
        <v>4</v>
      </c>
      <c r="BF17" s="12">
        <v>9</v>
      </c>
      <c r="BG17" s="12">
        <v>6</v>
      </c>
    </row>
    <row r="18" spans="1:59" x14ac:dyDescent="0.25">
      <c r="A18" t="s">
        <v>211</v>
      </c>
      <c r="B18" s="6" t="s">
        <v>32</v>
      </c>
      <c r="C18" s="12">
        <v>8</v>
      </c>
      <c r="D18" s="12">
        <v>8</v>
      </c>
      <c r="E18" s="12">
        <v>10</v>
      </c>
      <c r="F18" s="12">
        <v>8</v>
      </c>
      <c r="G18" s="12">
        <v>10</v>
      </c>
      <c r="H18" s="12">
        <v>8</v>
      </c>
      <c r="I18" s="12">
        <v>5</v>
      </c>
      <c r="J18" s="12">
        <v>8</v>
      </c>
      <c r="K18" s="12">
        <v>10</v>
      </c>
      <c r="L18" s="12">
        <v>7</v>
      </c>
      <c r="M18" s="12">
        <v>8</v>
      </c>
      <c r="N18" s="12">
        <v>5</v>
      </c>
      <c r="O18" s="12">
        <v>7</v>
      </c>
      <c r="P18" s="18">
        <v>11</v>
      </c>
      <c r="Q18" s="12">
        <v>9</v>
      </c>
      <c r="R18" s="12">
        <v>9</v>
      </c>
      <c r="S18" s="12">
        <v>8</v>
      </c>
      <c r="T18" s="12">
        <v>7</v>
      </c>
      <c r="U18" s="12">
        <v>7</v>
      </c>
      <c r="V18" s="12">
        <v>11</v>
      </c>
      <c r="W18" s="12">
        <v>7</v>
      </c>
      <c r="X18" s="12">
        <v>4</v>
      </c>
      <c r="Y18" s="12">
        <v>8</v>
      </c>
      <c r="Z18" s="12">
        <v>6</v>
      </c>
      <c r="AA18" s="12">
        <v>2</v>
      </c>
      <c r="AB18" s="12">
        <v>7</v>
      </c>
      <c r="AC18" s="12">
        <v>4</v>
      </c>
      <c r="AD18" s="12">
        <v>7</v>
      </c>
      <c r="AE18" s="12">
        <v>5</v>
      </c>
      <c r="AF18" s="12">
        <v>10</v>
      </c>
      <c r="AG18" s="12">
        <v>6</v>
      </c>
      <c r="AH18" s="12">
        <v>5</v>
      </c>
      <c r="AI18" s="12">
        <v>9</v>
      </c>
      <c r="AJ18" s="12">
        <v>10</v>
      </c>
      <c r="AK18" s="12">
        <v>7</v>
      </c>
      <c r="AL18" s="12">
        <v>9</v>
      </c>
      <c r="AM18" s="12">
        <v>6</v>
      </c>
      <c r="AN18" s="12">
        <v>9</v>
      </c>
      <c r="AO18" s="12">
        <v>9</v>
      </c>
      <c r="AP18" s="12">
        <v>10</v>
      </c>
      <c r="AQ18" s="12">
        <v>9</v>
      </c>
      <c r="AR18" s="12">
        <v>7</v>
      </c>
      <c r="AS18" s="12">
        <v>10</v>
      </c>
      <c r="AT18" s="12">
        <v>6</v>
      </c>
      <c r="AU18" s="12">
        <v>11</v>
      </c>
      <c r="AV18" s="12">
        <v>7</v>
      </c>
      <c r="AW18" s="12">
        <v>7</v>
      </c>
      <c r="AX18" s="12">
        <v>4</v>
      </c>
      <c r="AY18" s="12">
        <v>10</v>
      </c>
      <c r="AZ18" s="12">
        <v>7</v>
      </c>
      <c r="BA18" s="12">
        <v>6</v>
      </c>
      <c r="BB18" s="12">
        <v>5</v>
      </c>
      <c r="BC18" s="12">
        <v>7</v>
      </c>
      <c r="BD18" s="12">
        <v>9</v>
      </c>
      <c r="BE18" s="12">
        <v>5</v>
      </c>
      <c r="BF18" s="12">
        <v>6</v>
      </c>
      <c r="BG18" s="12">
        <v>9</v>
      </c>
    </row>
    <row r="19" spans="1:59" x14ac:dyDescent="0.25">
      <c r="A19" t="s">
        <v>212</v>
      </c>
      <c r="B19" s="6" t="s">
        <v>33</v>
      </c>
      <c r="C19" s="12">
        <v>6</v>
      </c>
      <c r="D19" s="12">
        <v>10</v>
      </c>
      <c r="E19" s="12">
        <v>9</v>
      </c>
      <c r="F19" s="12">
        <v>6</v>
      </c>
      <c r="G19" s="12">
        <v>6</v>
      </c>
      <c r="H19" s="12">
        <v>9</v>
      </c>
      <c r="I19" s="12">
        <v>7</v>
      </c>
      <c r="J19" s="12">
        <v>8</v>
      </c>
      <c r="K19" s="12">
        <v>5</v>
      </c>
      <c r="L19" s="12">
        <v>8</v>
      </c>
      <c r="M19" s="12">
        <v>10</v>
      </c>
      <c r="N19" s="12">
        <v>8</v>
      </c>
      <c r="O19" s="12">
        <v>7</v>
      </c>
      <c r="P19" s="18">
        <v>11</v>
      </c>
      <c r="Q19" s="12">
        <v>5</v>
      </c>
      <c r="R19" s="12">
        <v>7</v>
      </c>
      <c r="S19" s="12">
        <v>6</v>
      </c>
      <c r="T19" s="12">
        <v>6</v>
      </c>
      <c r="U19" s="12">
        <v>9</v>
      </c>
      <c r="V19" s="12">
        <v>4</v>
      </c>
      <c r="W19" s="12">
        <v>7</v>
      </c>
      <c r="X19" s="12">
        <v>8</v>
      </c>
      <c r="Y19" s="12">
        <v>7</v>
      </c>
      <c r="Z19" s="12">
        <v>2</v>
      </c>
      <c r="AA19" s="12">
        <v>6</v>
      </c>
      <c r="AB19" s="12">
        <v>5</v>
      </c>
      <c r="AC19" s="12">
        <v>9</v>
      </c>
      <c r="AD19" s="12">
        <v>8</v>
      </c>
      <c r="AE19" s="12">
        <v>8</v>
      </c>
      <c r="AF19" s="12">
        <v>6</v>
      </c>
      <c r="AG19" s="12">
        <v>9</v>
      </c>
      <c r="AH19" s="12">
        <v>5</v>
      </c>
      <c r="AI19" s="12">
        <v>6</v>
      </c>
      <c r="AJ19" s="12">
        <v>2</v>
      </c>
      <c r="AK19" s="12">
        <v>4</v>
      </c>
      <c r="AL19" s="12">
        <v>6</v>
      </c>
      <c r="AM19" s="12">
        <v>7</v>
      </c>
      <c r="AN19" s="12">
        <v>5</v>
      </c>
      <c r="AO19" s="12">
        <v>7</v>
      </c>
      <c r="AP19" s="12">
        <v>4</v>
      </c>
      <c r="AQ19" s="12">
        <v>6</v>
      </c>
      <c r="AR19" s="12">
        <v>6</v>
      </c>
      <c r="AS19" s="12">
        <v>10</v>
      </c>
      <c r="AT19" s="12">
        <v>5</v>
      </c>
      <c r="AU19" s="12">
        <v>8</v>
      </c>
      <c r="AV19" s="12">
        <v>9</v>
      </c>
      <c r="AW19" s="12">
        <v>5</v>
      </c>
      <c r="AX19" s="12">
        <v>8</v>
      </c>
      <c r="AY19" s="12">
        <v>9</v>
      </c>
      <c r="AZ19" s="12">
        <v>4</v>
      </c>
      <c r="BA19" s="12">
        <v>8</v>
      </c>
      <c r="BB19" s="12">
        <v>8</v>
      </c>
      <c r="BC19" s="12">
        <v>9</v>
      </c>
      <c r="BD19" s="12">
        <v>7</v>
      </c>
      <c r="BE19" s="12">
        <v>3</v>
      </c>
      <c r="BF19" s="12">
        <v>9</v>
      </c>
      <c r="BG19" s="12">
        <v>3</v>
      </c>
    </row>
    <row r="20" spans="1:59" x14ac:dyDescent="0.25">
      <c r="B20" s="7" t="s">
        <v>24</v>
      </c>
      <c r="P20" s="18"/>
    </row>
    <row r="21" spans="1:59" x14ac:dyDescent="0.25">
      <c r="A21" t="s">
        <v>213</v>
      </c>
      <c r="B21" s="8" t="s">
        <v>11</v>
      </c>
      <c r="C21" s="12">
        <v>4</v>
      </c>
      <c r="D21" s="12">
        <v>4</v>
      </c>
      <c r="E21" s="12">
        <v>4</v>
      </c>
      <c r="F21" s="12">
        <v>632.19000000000005</v>
      </c>
      <c r="G21" s="12">
        <v>4</v>
      </c>
      <c r="H21" s="12">
        <v>4</v>
      </c>
      <c r="I21" s="12">
        <v>4</v>
      </c>
      <c r="J21" s="12">
        <v>4</v>
      </c>
      <c r="K21" s="12">
        <v>4</v>
      </c>
      <c r="L21" s="12">
        <v>4</v>
      </c>
      <c r="M21" s="12">
        <v>4</v>
      </c>
      <c r="N21" s="12">
        <v>4</v>
      </c>
      <c r="O21" s="12">
        <v>4</v>
      </c>
      <c r="P21" s="18">
        <v>0</v>
      </c>
      <c r="Q21" s="12">
        <v>2524.9499999999998</v>
      </c>
      <c r="R21" s="12">
        <v>4</v>
      </c>
      <c r="S21" s="12">
        <v>4</v>
      </c>
      <c r="T21" s="12">
        <v>3</v>
      </c>
      <c r="U21" s="12">
        <v>4</v>
      </c>
      <c r="V21" s="12">
        <v>4</v>
      </c>
      <c r="W21" s="12">
        <v>4</v>
      </c>
      <c r="X21" s="12">
        <v>4</v>
      </c>
      <c r="Y21" s="12">
        <v>2500</v>
      </c>
      <c r="Z21" s="12">
        <v>4</v>
      </c>
      <c r="AA21" s="12">
        <v>3.8</v>
      </c>
      <c r="AB21" s="12">
        <v>4</v>
      </c>
      <c r="AC21" s="12">
        <v>3</v>
      </c>
      <c r="AD21" s="12">
        <v>3</v>
      </c>
      <c r="AE21" s="12">
        <v>4</v>
      </c>
      <c r="AF21" s="12">
        <v>4</v>
      </c>
      <c r="AG21" s="12">
        <v>2524.9499999999998</v>
      </c>
      <c r="AH21" s="12">
        <v>4</v>
      </c>
      <c r="AI21" s="12">
        <v>4</v>
      </c>
      <c r="AJ21" s="12">
        <v>4</v>
      </c>
      <c r="AK21" s="12">
        <v>4</v>
      </c>
      <c r="AL21" s="12">
        <v>4</v>
      </c>
      <c r="AM21" s="12">
        <v>4</v>
      </c>
      <c r="AN21" s="12">
        <v>4</v>
      </c>
      <c r="AO21" s="12">
        <v>4</v>
      </c>
      <c r="AP21" s="12">
        <v>4</v>
      </c>
      <c r="AQ21" s="12">
        <v>3</v>
      </c>
      <c r="AR21" s="12">
        <v>4</v>
      </c>
      <c r="AS21" s="12">
        <v>4</v>
      </c>
      <c r="AT21" s="12">
        <v>4</v>
      </c>
      <c r="AU21" s="12">
        <v>4</v>
      </c>
      <c r="AV21" s="12">
        <v>4</v>
      </c>
      <c r="AW21" s="12">
        <v>4</v>
      </c>
      <c r="AX21" s="12">
        <v>4</v>
      </c>
      <c r="AY21" s="12">
        <v>4</v>
      </c>
      <c r="AZ21" s="12">
        <v>4</v>
      </c>
      <c r="BA21" s="12">
        <v>4</v>
      </c>
      <c r="BB21" s="12">
        <v>4</v>
      </c>
      <c r="BC21" s="12">
        <v>4</v>
      </c>
      <c r="BD21" s="12">
        <v>19</v>
      </c>
      <c r="BE21" s="12">
        <v>4</v>
      </c>
      <c r="BF21" s="12">
        <v>4</v>
      </c>
      <c r="BG21" s="12">
        <v>4</v>
      </c>
    </row>
    <row r="22" spans="1:59" x14ac:dyDescent="0.25">
      <c r="A22" t="s">
        <v>215</v>
      </c>
      <c r="B22" s="9" t="s">
        <v>96</v>
      </c>
      <c r="C22" s="12">
        <f>IF(C21=4,1,0)</f>
        <v>1</v>
      </c>
      <c r="D22" s="12">
        <f t="shared" ref="D22:AC22" si="2">IF(D21=4,1,0)</f>
        <v>1</v>
      </c>
      <c r="E22" s="12">
        <f t="shared" si="2"/>
        <v>1</v>
      </c>
      <c r="F22" s="12">
        <f t="shared" si="2"/>
        <v>0</v>
      </c>
      <c r="G22" s="12">
        <f t="shared" si="2"/>
        <v>1</v>
      </c>
      <c r="H22" s="12">
        <f t="shared" si="2"/>
        <v>1</v>
      </c>
      <c r="I22" s="12">
        <f t="shared" si="2"/>
        <v>1</v>
      </c>
      <c r="J22" s="12">
        <f t="shared" si="2"/>
        <v>1</v>
      </c>
      <c r="K22" s="12">
        <f t="shared" si="2"/>
        <v>1</v>
      </c>
      <c r="L22" s="12">
        <f t="shared" si="2"/>
        <v>1</v>
      </c>
      <c r="M22" s="12">
        <f t="shared" si="2"/>
        <v>1</v>
      </c>
      <c r="N22" s="12">
        <f t="shared" si="2"/>
        <v>1</v>
      </c>
      <c r="O22" s="12">
        <f t="shared" si="2"/>
        <v>1</v>
      </c>
      <c r="P22" s="12">
        <f t="shared" si="2"/>
        <v>0</v>
      </c>
      <c r="Q22" s="12">
        <f t="shared" si="2"/>
        <v>0</v>
      </c>
      <c r="R22" s="12">
        <f t="shared" si="2"/>
        <v>1</v>
      </c>
      <c r="S22" s="12">
        <f t="shared" si="2"/>
        <v>1</v>
      </c>
      <c r="T22" s="12">
        <f t="shared" si="2"/>
        <v>0</v>
      </c>
      <c r="U22" s="12">
        <f t="shared" si="2"/>
        <v>1</v>
      </c>
      <c r="V22" s="12">
        <f t="shared" si="2"/>
        <v>1</v>
      </c>
      <c r="W22" s="12">
        <f t="shared" si="2"/>
        <v>1</v>
      </c>
      <c r="X22" s="12">
        <f t="shared" si="2"/>
        <v>1</v>
      </c>
      <c r="Y22" s="12">
        <f t="shared" si="2"/>
        <v>0</v>
      </c>
      <c r="Z22" s="12">
        <f t="shared" si="2"/>
        <v>1</v>
      </c>
      <c r="AA22" s="12">
        <f t="shared" si="2"/>
        <v>0</v>
      </c>
      <c r="AB22" s="12">
        <f t="shared" si="2"/>
        <v>1</v>
      </c>
      <c r="AC22" s="12">
        <f t="shared" si="2"/>
        <v>0</v>
      </c>
      <c r="AD22" s="12">
        <f>IF(AD21=4,1,0)</f>
        <v>0</v>
      </c>
      <c r="AE22" s="12">
        <f t="shared" ref="AE22:BG22" si="3">IF(AE21=4,1,0)</f>
        <v>1</v>
      </c>
      <c r="AF22" s="12">
        <f t="shared" si="3"/>
        <v>1</v>
      </c>
      <c r="AG22" s="12">
        <f t="shared" si="3"/>
        <v>0</v>
      </c>
      <c r="AH22" s="12">
        <f t="shared" si="3"/>
        <v>1</v>
      </c>
      <c r="AI22" s="12">
        <f t="shared" si="3"/>
        <v>1</v>
      </c>
      <c r="AJ22" s="12">
        <f t="shared" si="3"/>
        <v>1</v>
      </c>
      <c r="AK22" s="12">
        <f t="shared" si="3"/>
        <v>1</v>
      </c>
      <c r="AL22" s="12">
        <f t="shared" si="3"/>
        <v>1</v>
      </c>
      <c r="AM22" s="12">
        <f t="shared" si="3"/>
        <v>1</v>
      </c>
      <c r="AN22" s="12">
        <f t="shared" si="3"/>
        <v>1</v>
      </c>
      <c r="AO22" s="12">
        <f t="shared" si="3"/>
        <v>1</v>
      </c>
      <c r="AP22" s="12">
        <f t="shared" si="3"/>
        <v>1</v>
      </c>
      <c r="AQ22" s="12">
        <f t="shared" si="3"/>
        <v>0</v>
      </c>
      <c r="AR22" s="12">
        <f t="shared" si="3"/>
        <v>1</v>
      </c>
      <c r="AS22" s="12">
        <f t="shared" si="3"/>
        <v>1</v>
      </c>
      <c r="AT22" s="12">
        <f t="shared" si="3"/>
        <v>1</v>
      </c>
      <c r="AU22" s="12">
        <f t="shared" si="3"/>
        <v>1</v>
      </c>
      <c r="AV22" s="12">
        <f t="shared" si="3"/>
        <v>1</v>
      </c>
      <c r="AW22" s="12">
        <f t="shared" si="3"/>
        <v>1</v>
      </c>
      <c r="AX22" s="12">
        <f t="shared" si="3"/>
        <v>1</v>
      </c>
      <c r="AY22" s="12">
        <f t="shared" si="3"/>
        <v>1</v>
      </c>
      <c r="AZ22" s="12">
        <f t="shared" si="3"/>
        <v>1</v>
      </c>
      <c r="BA22" s="12">
        <f t="shared" si="3"/>
        <v>1</v>
      </c>
      <c r="BB22" s="12">
        <f t="shared" si="3"/>
        <v>1</v>
      </c>
      <c r="BC22" s="12">
        <f t="shared" si="3"/>
        <v>1</v>
      </c>
      <c r="BD22" s="12">
        <f t="shared" si="3"/>
        <v>0</v>
      </c>
      <c r="BE22" s="12">
        <f t="shared" si="3"/>
        <v>1</v>
      </c>
      <c r="BF22" s="12">
        <f t="shared" si="3"/>
        <v>1</v>
      </c>
      <c r="BG22" s="12">
        <f t="shared" si="3"/>
        <v>1</v>
      </c>
    </row>
    <row r="23" spans="1:59" x14ac:dyDescent="0.25">
      <c r="A23" t="s">
        <v>216</v>
      </c>
      <c r="B23" s="9" t="s">
        <v>145</v>
      </c>
      <c r="C23" s="12">
        <v>27</v>
      </c>
      <c r="D23" s="12">
        <v>47</v>
      </c>
      <c r="E23" s="12">
        <v>59</v>
      </c>
      <c r="F23" s="12">
        <v>503</v>
      </c>
      <c r="G23" s="12">
        <v>64</v>
      </c>
      <c r="H23" s="12">
        <v>40</v>
      </c>
      <c r="I23" s="12">
        <v>145</v>
      </c>
      <c r="J23" s="12">
        <v>42</v>
      </c>
      <c r="K23" s="12">
        <v>146</v>
      </c>
      <c r="L23" s="12">
        <v>108</v>
      </c>
      <c r="M23" s="12">
        <v>27</v>
      </c>
      <c r="N23" s="12">
        <v>181</v>
      </c>
      <c r="O23" s="12">
        <v>28</v>
      </c>
      <c r="P23" s="12">
        <v>13</v>
      </c>
      <c r="Q23" s="12">
        <v>115</v>
      </c>
      <c r="R23" s="12">
        <v>94</v>
      </c>
      <c r="S23" s="12">
        <v>65</v>
      </c>
      <c r="T23" s="12">
        <v>32</v>
      </c>
      <c r="U23" s="12">
        <v>209</v>
      </c>
      <c r="V23" s="12">
        <v>46</v>
      </c>
      <c r="W23" s="12">
        <v>145</v>
      </c>
      <c r="X23" s="12">
        <v>62</v>
      </c>
      <c r="Y23" s="12">
        <v>43</v>
      </c>
      <c r="Z23" s="12">
        <v>20</v>
      </c>
      <c r="AA23" s="12">
        <v>76</v>
      </c>
      <c r="AB23" s="12">
        <v>63</v>
      </c>
      <c r="AC23" s="12">
        <v>25</v>
      </c>
      <c r="AD23" s="12">
        <v>49</v>
      </c>
      <c r="AE23" s="12">
        <v>18</v>
      </c>
      <c r="AF23" s="12">
        <v>10</v>
      </c>
      <c r="AG23" s="12">
        <v>339</v>
      </c>
      <c r="AH23" s="12">
        <v>60</v>
      </c>
      <c r="AI23" s="12">
        <v>29</v>
      </c>
      <c r="AJ23" s="12">
        <v>15</v>
      </c>
      <c r="AK23" s="12">
        <v>31</v>
      </c>
      <c r="AL23" s="12">
        <v>172</v>
      </c>
      <c r="AM23" s="12">
        <v>20</v>
      </c>
      <c r="AN23" s="12">
        <v>116</v>
      </c>
      <c r="AO23" s="12">
        <v>23</v>
      </c>
      <c r="AP23" s="12">
        <v>17</v>
      </c>
      <c r="AQ23" s="12">
        <v>9</v>
      </c>
      <c r="AR23" s="12">
        <v>43</v>
      </c>
      <c r="AS23" s="12">
        <v>12</v>
      </c>
      <c r="AT23" s="12">
        <v>23</v>
      </c>
      <c r="AU23" s="12">
        <v>11</v>
      </c>
      <c r="AV23" s="12">
        <v>56</v>
      </c>
      <c r="AW23" s="12">
        <v>98</v>
      </c>
      <c r="AX23" s="12">
        <v>55</v>
      </c>
      <c r="AY23" s="12">
        <v>367</v>
      </c>
      <c r="AZ23" s="12">
        <v>145</v>
      </c>
      <c r="BA23" s="12">
        <v>37</v>
      </c>
      <c r="BB23" s="12">
        <v>50</v>
      </c>
      <c r="BC23" s="12">
        <v>18</v>
      </c>
      <c r="BD23" s="12">
        <v>107</v>
      </c>
      <c r="BE23" s="12">
        <v>8</v>
      </c>
      <c r="BF23" s="12">
        <v>31</v>
      </c>
      <c r="BG23" s="12">
        <v>9</v>
      </c>
    </row>
    <row r="24" spans="1:59" x14ac:dyDescent="0.25">
      <c r="A24" t="s">
        <v>219</v>
      </c>
      <c r="B24" s="8" t="s">
        <v>12</v>
      </c>
      <c r="C24" s="12">
        <v>6</v>
      </c>
      <c r="D24" s="12">
        <v>6</v>
      </c>
      <c r="E24" s="12">
        <v>6</v>
      </c>
      <c r="F24" s="12">
        <v>6</v>
      </c>
      <c r="G24" s="12">
        <v>6</v>
      </c>
      <c r="H24" s="12">
        <v>6</v>
      </c>
      <c r="I24" s="12">
        <v>6</v>
      </c>
      <c r="J24" s="12">
        <v>6</v>
      </c>
      <c r="K24" s="12">
        <v>6</v>
      </c>
      <c r="L24" s="12">
        <v>0.06</v>
      </c>
      <c r="M24" s="12">
        <v>0.06</v>
      </c>
      <c r="N24" s="12">
        <v>6</v>
      </c>
      <c r="O24" s="12">
        <v>0.06</v>
      </c>
      <c r="P24" s="18">
        <v>4</v>
      </c>
      <c r="Q24" s="12">
        <v>6</v>
      </c>
      <c r="R24" s="12">
        <v>6</v>
      </c>
      <c r="S24" s="12">
        <v>6</v>
      </c>
      <c r="T24" s="12">
        <v>4</v>
      </c>
      <c r="U24" s="12">
        <v>6</v>
      </c>
      <c r="V24" s="12">
        <v>6</v>
      </c>
      <c r="W24" s="12">
        <v>0.06</v>
      </c>
      <c r="X24" s="12">
        <v>6</v>
      </c>
      <c r="Y24" s="12">
        <v>200</v>
      </c>
      <c r="Z24" s="12">
        <v>6</v>
      </c>
      <c r="AA24" s="12">
        <v>6</v>
      </c>
      <c r="AB24" s="12">
        <v>0.06</v>
      </c>
      <c r="AC24" s="12">
        <v>12</v>
      </c>
      <c r="AD24" s="12">
        <v>10</v>
      </c>
      <c r="AE24" s="12">
        <v>0.06</v>
      </c>
      <c r="AF24" s="12">
        <v>6</v>
      </c>
      <c r="AG24" s="12">
        <v>4</v>
      </c>
      <c r="AH24" s="12">
        <v>6</v>
      </c>
      <c r="AI24" s="12">
        <v>0.06</v>
      </c>
      <c r="AJ24" s="12">
        <v>0.06</v>
      </c>
      <c r="AK24" s="12">
        <v>0.06</v>
      </c>
      <c r="AL24" s="12">
        <v>6</v>
      </c>
      <c r="AM24" s="12">
        <v>6</v>
      </c>
      <c r="AN24" s="12">
        <v>6</v>
      </c>
      <c r="AO24" s="12">
        <v>6</v>
      </c>
      <c r="AP24" s="12">
        <v>0.06</v>
      </c>
      <c r="AQ24" s="12">
        <v>9</v>
      </c>
      <c r="AR24" s="12">
        <v>0.06</v>
      </c>
      <c r="AS24" s="12">
        <v>0.06</v>
      </c>
      <c r="AT24" s="12">
        <v>6</v>
      </c>
      <c r="AU24" s="12">
        <v>6</v>
      </c>
      <c r="AV24" s="12">
        <v>6</v>
      </c>
      <c r="AW24" s="12">
        <v>6</v>
      </c>
      <c r="AX24" s="12">
        <v>6</v>
      </c>
      <c r="AY24" s="12">
        <v>4</v>
      </c>
      <c r="AZ24" s="12">
        <v>6</v>
      </c>
      <c r="BA24" s="12">
        <v>0.06</v>
      </c>
      <c r="BB24" s="12">
        <v>6</v>
      </c>
      <c r="BC24" s="12">
        <v>6</v>
      </c>
      <c r="BD24" s="12">
        <v>6</v>
      </c>
      <c r="BE24" s="12">
        <v>6</v>
      </c>
      <c r="BF24" s="12">
        <v>6</v>
      </c>
      <c r="BG24" s="12">
        <v>6</v>
      </c>
    </row>
    <row r="25" spans="1:59" x14ac:dyDescent="0.25">
      <c r="A25" t="s">
        <v>221</v>
      </c>
      <c r="B25" s="9" t="s">
        <v>97</v>
      </c>
      <c r="C25" s="12">
        <f>IF(C24=6,1,0)</f>
        <v>1</v>
      </c>
      <c r="D25" s="12">
        <f t="shared" ref="D25:AA25" si="4">IF(D24=6,1,0)</f>
        <v>1</v>
      </c>
      <c r="E25" s="12">
        <f t="shared" si="4"/>
        <v>1</v>
      </c>
      <c r="F25" s="12">
        <f t="shared" si="4"/>
        <v>1</v>
      </c>
      <c r="G25" s="12">
        <f t="shared" si="4"/>
        <v>1</v>
      </c>
      <c r="H25" s="12">
        <f t="shared" si="4"/>
        <v>1</v>
      </c>
      <c r="I25" s="12">
        <f t="shared" si="4"/>
        <v>1</v>
      </c>
      <c r="J25" s="12">
        <f t="shared" si="4"/>
        <v>1</v>
      </c>
      <c r="K25" s="12">
        <f t="shared" si="4"/>
        <v>1</v>
      </c>
      <c r="L25" s="12">
        <v>1</v>
      </c>
      <c r="M25" s="12">
        <v>1</v>
      </c>
      <c r="N25" s="12">
        <f t="shared" si="4"/>
        <v>1</v>
      </c>
      <c r="O25" s="12">
        <v>1</v>
      </c>
      <c r="P25" s="12">
        <f t="shared" si="4"/>
        <v>0</v>
      </c>
      <c r="Q25" s="12">
        <f t="shared" si="4"/>
        <v>1</v>
      </c>
      <c r="R25" s="12">
        <f t="shared" si="4"/>
        <v>1</v>
      </c>
      <c r="S25" s="12">
        <f t="shared" si="4"/>
        <v>1</v>
      </c>
      <c r="T25" s="12">
        <f t="shared" si="4"/>
        <v>0</v>
      </c>
      <c r="U25" s="12">
        <f t="shared" si="4"/>
        <v>1</v>
      </c>
      <c r="V25" s="12">
        <f t="shared" si="4"/>
        <v>1</v>
      </c>
      <c r="W25" s="12">
        <v>1</v>
      </c>
      <c r="X25" s="12">
        <f t="shared" si="4"/>
        <v>1</v>
      </c>
      <c r="Y25" s="12">
        <f t="shared" si="4"/>
        <v>0</v>
      </c>
      <c r="Z25" s="12">
        <f t="shared" si="4"/>
        <v>1</v>
      </c>
      <c r="AA25" s="12">
        <f t="shared" si="4"/>
        <v>1</v>
      </c>
      <c r="AB25" s="12">
        <v>1</v>
      </c>
      <c r="AC25" s="12">
        <v>1</v>
      </c>
      <c r="AD25" s="12">
        <f>IF(AD24=6,1,0)</f>
        <v>0</v>
      </c>
      <c r="AE25" s="12">
        <f t="shared" ref="AE25:BG25" si="5">IF(AE24=6,1,0)</f>
        <v>0</v>
      </c>
      <c r="AF25" s="12">
        <f t="shared" si="5"/>
        <v>1</v>
      </c>
      <c r="AG25" s="12">
        <f t="shared" si="5"/>
        <v>0</v>
      </c>
      <c r="AH25" s="12">
        <f t="shared" si="5"/>
        <v>1</v>
      </c>
      <c r="AI25" s="12">
        <v>1</v>
      </c>
      <c r="AJ25" s="12">
        <v>1</v>
      </c>
      <c r="AK25" s="12">
        <v>1</v>
      </c>
      <c r="AL25" s="12">
        <f t="shared" si="5"/>
        <v>1</v>
      </c>
      <c r="AM25" s="12">
        <f t="shared" si="5"/>
        <v>1</v>
      </c>
      <c r="AN25" s="12">
        <f t="shared" si="5"/>
        <v>1</v>
      </c>
      <c r="AO25" s="12">
        <f t="shared" si="5"/>
        <v>1</v>
      </c>
      <c r="AP25" s="12">
        <v>1</v>
      </c>
      <c r="AQ25" s="12">
        <f t="shared" si="5"/>
        <v>0</v>
      </c>
      <c r="AR25" s="12">
        <v>1</v>
      </c>
      <c r="AS25" s="12">
        <v>1</v>
      </c>
      <c r="AT25" s="12">
        <f t="shared" si="5"/>
        <v>1</v>
      </c>
      <c r="AU25" s="12">
        <f t="shared" si="5"/>
        <v>1</v>
      </c>
      <c r="AV25" s="12">
        <f t="shared" si="5"/>
        <v>1</v>
      </c>
      <c r="AW25" s="12">
        <f t="shared" si="5"/>
        <v>1</v>
      </c>
      <c r="AX25" s="12">
        <f t="shared" si="5"/>
        <v>1</v>
      </c>
      <c r="AY25" s="12">
        <f t="shared" si="5"/>
        <v>0</v>
      </c>
      <c r="AZ25" s="12">
        <f t="shared" si="5"/>
        <v>1</v>
      </c>
      <c r="BA25" s="12">
        <v>1</v>
      </c>
      <c r="BB25" s="12">
        <f t="shared" si="5"/>
        <v>1</v>
      </c>
      <c r="BC25" s="12">
        <f t="shared" si="5"/>
        <v>1</v>
      </c>
      <c r="BD25" s="12">
        <f t="shared" si="5"/>
        <v>1</v>
      </c>
      <c r="BE25" s="12">
        <f t="shared" si="5"/>
        <v>1</v>
      </c>
      <c r="BF25" s="12">
        <f t="shared" si="5"/>
        <v>1</v>
      </c>
      <c r="BG25" s="12">
        <f t="shared" si="5"/>
        <v>1</v>
      </c>
    </row>
    <row r="26" spans="1:59" x14ac:dyDescent="0.25">
      <c r="A26" t="s">
        <v>222</v>
      </c>
      <c r="B26" s="9" t="s">
        <v>146</v>
      </c>
      <c r="C26" s="12">
        <v>8</v>
      </c>
      <c r="D26" s="12">
        <v>8</v>
      </c>
      <c r="E26" s="12">
        <v>9</v>
      </c>
      <c r="F26" s="12">
        <v>23</v>
      </c>
      <c r="G26" s="12">
        <v>9</v>
      </c>
      <c r="H26" s="12">
        <v>5</v>
      </c>
      <c r="I26" s="12">
        <v>51</v>
      </c>
      <c r="J26" s="12">
        <v>10</v>
      </c>
      <c r="K26" s="12">
        <v>13</v>
      </c>
      <c r="L26" s="12">
        <v>102</v>
      </c>
      <c r="M26" s="12">
        <v>13</v>
      </c>
      <c r="N26" s="12">
        <v>4</v>
      </c>
      <c r="O26" s="12">
        <v>22</v>
      </c>
      <c r="P26" s="12">
        <v>6</v>
      </c>
      <c r="Q26" s="12">
        <v>13</v>
      </c>
      <c r="R26" s="12">
        <v>6</v>
      </c>
      <c r="S26" s="12">
        <v>16</v>
      </c>
      <c r="T26" s="12">
        <v>5</v>
      </c>
      <c r="U26" s="12">
        <v>9</v>
      </c>
      <c r="V26" s="12">
        <v>8</v>
      </c>
      <c r="W26" s="12">
        <v>28</v>
      </c>
      <c r="X26" s="12">
        <v>23</v>
      </c>
      <c r="Y26" s="12">
        <v>23</v>
      </c>
      <c r="Z26" s="12">
        <v>5</v>
      </c>
      <c r="AA26" s="12">
        <v>17</v>
      </c>
      <c r="AB26" s="12">
        <v>23</v>
      </c>
      <c r="AC26" s="12">
        <v>20</v>
      </c>
      <c r="AD26" s="12">
        <v>21</v>
      </c>
      <c r="AE26" s="12">
        <v>7</v>
      </c>
      <c r="AF26" s="12">
        <v>3</v>
      </c>
      <c r="AG26" s="12">
        <v>17</v>
      </c>
      <c r="AH26" s="12">
        <v>6</v>
      </c>
      <c r="AI26" s="12">
        <v>14</v>
      </c>
      <c r="AJ26" s="12">
        <v>14</v>
      </c>
      <c r="AK26" s="12">
        <v>20</v>
      </c>
      <c r="AL26" s="12">
        <v>6</v>
      </c>
      <c r="AM26" s="12">
        <v>5</v>
      </c>
      <c r="AN26" s="12">
        <v>24</v>
      </c>
      <c r="AO26" s="12">
        <v>5</v>
      </c>
      <c r="AP26" s="12">
        <v>131</v>
      </c>
      <c r="AQ26" s="12">
        <v>5</v>
      </c>
      <c r="AR26" s="12">
        <v>14</v>
      </c>
      <c r="AS26" s="12">
        <v>8</v>
      </c>
      <c r="AT26" s="12">
        <v>12</v>
      </c>
      <c r="AU26" s="12">
        <v>9</v>
      </c>
      <c r="AV26" s="12">
        <v>7</v>
      </c>
      <c r="AW26" s="12">
        <v>8</v>
      </c>
      <c r="AX26" s="12">
        <v>7</v>
      </c>
      <c r="AY26" s="12">
        <v>49</v>
      </c>
      <c r="AZ26" s="12">
        <v>14</v>
      </c>
      <c r="BA26" s="12">
        <v>7</v>
      </c>
      <c r="BB26" s="12">
        <v>15</v>
      </c>
      <c r="BC26" s="12">
        <v>11</v>
      </c>
      <c r="BD26" s="12">
        <v>11</v>
      </c>
      <c r="BE26" s="12">
        <v>3</v>
      </c>
      <c r="BF26" s="12">
        <v>5</v>
      </c>
      <c r="BG26" s="12">
        <v>4</v>
      </c>
    </row>
    <row r="27" spans="1:59" x14ac:dyDescent="0.25">
      <c r="A27" t="s">
        <v>225</v>
      </c>
      <c r="B27" s="8" t="s">
        <v>13</v>
      </c>
      <c r="C27" s="12">
        <v>2000</v>
      </c>
      <c r="D27" s="12">
        <v>2000</v>
      </c>
      <c r="E27" s="12">
        <v>2000</v>
      </c>
      <c r="F27" s="12">
        <v>2000</v>
      </c>
      <c r="G27" s="12">
        <v>2000</v>
      </c>
      <c r="H27" s="12">
        <v>2000</v>
      </c>
      <c r="I27" s="12">
        <v>2000</v>
      </c>
      <c r="J27" s="12">
        <v>2000</v>
      </c>
      <c r="K27" s="12">
        <v>2000</v>
      </c>
      <c r="L27" s="12">
        <v>2000</v>
      </c>
      <c r="M27" s="12">
        <v>2000</v>
      </c>
      <c r="N27" s="12">
        <v>2000</v>
      </c>
      <c r="O27" s="12">
        <v>2000</v>
      </c>
      <c r="P27" s="18">
        <v>8</v>
      </c>
      <c r="Q27" s="12">
        <v>2000</v>
      </c>
      <c r="R27" s="12">
        <v>2000</v>
      </c>
      <c r="S27" s="12">
        <v>2000</v>
      </c>
      <c r="T27" s="12">
        <v>1000</v>
      </c>
      <c r="U27" s="12">
        <v>2000</v>
      </c>
      <c r="V27" s="12">
        <v>2000</v>
      </c>
      <c r="W27" s="12">
        <v>2000</v>
      </c>
      <c r="X27" s="12">
        <v>2000</v>
      </c>
      <c r="Y27" s="12">
        <v>6</v>
      </c>
      <c r="Z27" s="12">
        <v>2000</v>
      </c>
      <c r="AA27" s="12">
        <v>2000</v>
      </c>
      <c r="AB27" s="12">
        <v>2000</v>
      </c>
      <c r="AC27" s="12">
        <v>1000</v>
      </c>
      <c r="AD27" s="12">
        <v>1000</v>
      </c>
      <c r="AE27" s="12">
        <v>2000</v>
      </c>
      <c r="AF27" s="12">
        <v>2000</v>
      </c>
      <c r="AG27" s="12">
        <v>2000</v>
      </c>
      <c r="AH27" s="12">
        <v>2000</v>
      </c>
      <c r="AI27" s="12">
        <v>2000</v>
      </c>
      <c r="AJ27" s="12">
        <v>2000</v>
      </c>
      <c r="AK27" s="12">
        <v>2000</v>
      </c>
      <c r="AL27" s="12">
        <v>2000</v>
      </c>
      <c r="AM27" s="12">
        <v>2000</v>
      </c>
      <c r="AN27" s="12">
        <v>2000</v>
      </c>
      <c r="AO27" s="12">
        <v>1980.23</v>
      </c>
      <c r="AP27" s="12">
        <v>2000</v>
      </c>
      <c r="AQ27" s="12">
        <v>10000</v>
      </c>
      <c r="AR27" s="12">
        <v>2000</v>
      </c>
      <c r="AS27" s="12">
        <v>2000</v>
      </c>
      <c r="AT27" s="12">
        <v>2000</v>
      </c>
      <c r="AU27" s="12">
        <v>2000</v>
      </c>
      <c r="AV27" s="12">
        <v>2000</v>
      </c>
      <c r="AW27" s="12">
        <v>2000</v>
      </c>
      <c r="AX27" s="12">
        <v>2000</v>
      </c>
      <c r="AY27" s="12">
        <v>2000</v>
      </c>
      <c r="AZ27" s="12">
        <v>2000</v>
      </c>
      <c r="BA27" s="12">
        <v>2000</v>
      </c>
      <c r="BB27" s="12">
        <v>2000</v>
      </c>
      <c r="BC27" s="12">
        <v>2000</v>
      </c>
      <c r="BD27" s="12">
        <v>2000</v>
      </c>
      <c r="BE27" s="12">
        <v>1980.23</v>
      </c>
      <c r="BF27" s="12">
        <v>2000</v>
      </c>
      <c r="BG27" s="12">
        <v>2000</v>
      </c>
    </row>
    <row r="28" spans="1:59" x14ac:dyDescent="0.25">
      <c r="A28" t="s">
        <v>229</v>
      </c>
      <c r="B28" s="9" t="s">
        <v>98</v>
      </c>
      <c r="C28" s="12">
        <f>IF(C27=2000,1,0)</f>
        <v>1</v>
      </c>
      <c r="D28" s="12">
        <f t="shared" ref="D28:AC28" si="6">IF(D27=2000,1,0)</f>
        <v>1</v>
      </c>
      <c r="E28" s="12">
        <f t="shared" si="6"/>
        <v>1</v>
      </c>
      <c r="F28" s="12">
        <f t="shared" si="6"/>
        <v>1</v>
      </c>
      <c r="G28" s="12">
        <f t="shared" si="6"/>
        <v>1</v>
      </c>
      <c r="H28" s="12">
        <f t="shared" si="6"/>
        <v>1</v>
      </c>
      <c r="I28" s="12">
        <f t="shared" si="6"/>
        <v>1</v>
      </c>
      <c r="J28" s="12">
        <f t="shared" si="6"/>
        <v>1</v>
      </c>
      <c r="K28" s="12">
        <f t="shared" si="6"/>
        <v>1</v>
      </c>
      <c r="L28" s="12">
        <f t="shared" si="6"/>
        <v>1</v>
      </c>
      <c r="M28" s="12">
        <f t="shared" si="6"/>
        <v>1</v>
      </c>
      <c r="N28" s="12">
        <f t="shared" si="6"/>
        <v>1</v>
      </c>
      <c r="O28" s="12">
        <f t="shared" si="6"/>
        <v>1</v>
      </c>
      <c r="P28" s="12">
        <f t="shared" si="6"/>
        <v>0</v>
      </c>
      <c r="Q28" s="12">
        <f t="shared" si="6"/>
        <v>1</v>
      </c>
      <c r="R28" s="12">
        <f t="shared" si="6"/>
        <v>1</v>
      </c>
      <c r="S28" s="12">
        <f t="shared" si="6"/>
        <v>1</v>
      </c>
      <c r="T28" s="12">
        <f t="shared" si="6"/>
        <v>0</v>
      </c>
      <c r="U28" s="12">
        <f t="shared" si="6"/>
        <v>1</v>
      </c>
      <c r="V28" s="12">
        <f t="shared" si="6"/>
        <v>1</v>
      </c>
      <c r="W28" s="12">
        <f t="shared" si="6"/>
        <v>1</v>
      </c>
      <c r="X28" s="12">
        <f t="shared" si="6"/>
        <v>1</v>
      </c>
      <c r="Y28" s="12">
        <f t="shared" si="6"/>
        <v>0</v>
      </c>
      <c r="Z28" s="12">
        <f t="shared" si="6"/>
        <v>1</v>
      </c>
      <c r="AA28" s="12">
        <f t="shared" si="6"/>
        <v>1</v>
      </c>
      <c r="AB28" s="12">
        <f t="shared" si="6"/>
        <v>1</v>
      </c>
      <c r="AC28" s="12">
        <f t="shared" si="6"/>
        <v>0</v>
      </c>
      <c r="AD28" s="12">
        <f>IF(AD27=2000,1,0)</f>
        <v>0</v>
      </c>
      <c r="AE28" s="12">
        <f t="shared" ref="AE28:BG28" si="7">IF(AE27=2000,1,0)</f>
        <v>1</v>
      </c>
      <c r="AF28" s="12">
        <f t="shared" si="7"/>
        <v>1</v>
      </c>
      <c r="AG28" s="12">
        <f t="shared" si="7"/>
        <v>1</v>
      </c>
      <c r="AH28" s="12">
        <f t="shared" si="7"/>
        <v>1</v>
      </c>
      <c r="AI28" s="12">
        <f t="shared" si="7"/>
        <v>1</v>
      </c>
      <c r="AJ28" s="12">
        <f t="shared" si="7"/>
        <v>1</v>
      </c>
      <c r="AK28" s="12">
        <f t="shared" si="7"/>
        <v>1</v>
      </c>
      <c r="AL28" s="12">
        <f t="shared" si="7"/>
        <v>1</v>
      </c>
      <c r="AM28" s="12">
        <f t="shared" si="7"/>
        <v>1</v>
      </c>
      <c r="AN28" s="12">
        <f t="shared" si="7"/>
        <v>1</v>
      </c>
      <c r="AO28" s="12">
        <f t="shared" si="7"/>
        <v>0</v>
      </c>
      <c r="AP28" s="12">
        <f t="shared" si="7"/>
        <v>1</v>
      </c>
      <c r="AQ28" s="12">
        <f t="shared" si="7"/>
        <v>0</v>
      </c>
      <c r="AR28" s="12">
        <f t="shared" si="7"/>
        <v>1</v>
      </c>
      <c r="AS28" s="12">
        <f t="shared" si="7"/>
        <v>1</v>
      </c>
      <c r="AT28" s="12">
        <f t="shared" si="7"/>
        <v>1</v>
      </c>
      <c r="AU28" s="12">
        <f t="shared" si="7"/>
        <v>1</v>
      </c>
      <c r="AV28" s="12">
        <f t="shared" si="7"/>
        <v>1</v>
      </c>
      <c r="AW28" s="12">
        <f t="shared" si="7"/>
        <v>1</v>
      </c>
      <c r="AX28" s="12">
        <f t="shared" si="7"/>
        <v>1</v>
      </c>
      <c r="AY28" s="12">
        <f t="shared" si="7"/>
        <v>1</v>
      </c>
      <c r="AZ28" s="12">
        <f t="shared" si="7"/>
        <v>1</v>
      </c>
      <c r="BA28" s="12">
        <f t="shared" si="7"/>
        <v>1</v>
      </c>
      <c r="BB28" s="12">
        <f t="shared" si="7"/>
        <v>1</v>
      </c>
      <c r="BC28" s="12">
        <f t="shared" si="7"/>
        <v>1</v>
      </c>
      <c r="BD28" s="12">
        <f t="shared" si="7"/>
        <v>1</v>
      </c>
      <c r="BE28" s="12">
        <f t="shared" si="7"/>
        <v>0</v>
      </c>
      <c r="BF28" s="12">
        <f t="shared" si="7"/>
        <v>1</v>
      </c>
      <c r="BG28" s="12">
        <f t="shared" si="7"/>
        <v>1</v>
      </c>
    </row>
    <row r="29" spans="1:59" x14ac:dyDescent="0.25">
      <c r="A29" t="s">
        <v>230</v>
      </c>
      <c r="B29" s="9" t="s">
        <v>147</v>
      </c>
      <c r="C29" s="12">
        <v>8</v>
      </c>
      <c r="D29" s="12">
        <v>10</v>
      </c>
      <c r="E29" s="12">
        <v>8</v>
      </c>
      <c r="F29" s="12">
        <v>15</v>
      </c>
      <c r="G29" s="12">
        <v>13</v>
      </c>
      <c r="H29" s="12">
        <v>12</v>
      </c>
      <c r="I29" s="12">
        <v>29</v>
      </c>
      <c r="J29" s="12">
        <v>49</v>
      </c>
      <c r="K29" s="12">
        <v>32</v>
      </c>
      <c r="L29" s="12">
        <v>13</v>
      </c>
      <c r="M29" s="12">
        <v>7</v>
      </c>
      <c r="N29" s="12">
        <v>7</v>
      </c>
      <c r="O29" s="12">
        <v>5</v>
      </c>
      <c r="P29" s="12">
        <v>4</v>
      </c>
      <c r="Q29" s="12">
        <v>36</v>
      </c>
      <c r="R29" s="12">
        <v>17</v>
      </c>
      <c r="S29" s="12">
        <v>9</v>
      </c>
      <c r="T29" s="12">
        <v>20</v>
      </c>
      <c r="U29" s="12">
        <v>7</v>
      </c>
      <c r="V29" s="12">
        <v>14</v>
      </c>
      <c r="W29" s="12">
        <v>13</v>
      </c>
      <c r="X29" s="12">
        <v>21</v>
      </c>
      <c r="Y29" s="12">
        <v>7</v>
      </c>
      <c r="Z29" s="12">
        <v>12</v>
      </c>
      <c r="AA29" s="12">
        <v>10</v>
      </c>
      <c r="AB29" s="12">
        <v>16</v>
      </c>
      <c r="AC29" s="12">
        <v>19</v>
      </c>
      <c r="AD29" s="12">
        <v>51</v>
      </c>
      <c r="AE29" s="12">
        <v>10</v>
      </c>
      <c r="AF29" s="12">
        <v>10</v>
      </c>
      <c r="AG29" s="12">
        <v>37</v>
      </c>
      <c r="AH29" s="12">
        <v>9</v>
      </c>
      <c r="AI29" s="12">
        <v>16</v>
      </c>
      <c r="AJ29" s="12">
        <v>29</v>
      </c>
      <c r="AK29" s="12">
        <v>12</v>
      </c>
      <c r="AL29" s="12">
        <v>11</v>
      </c>
      <c r="AM29" s="12">
        <v>19</v>
      </c>
      <c r="AN29" s="12">
        <v>9</v>
      </c>
      <c r="AO29" s="12">
        <v>43</v>
      </c>
      <c r="AP29" s="12">
        <v>35</v>
      </c>
      <c r="AQ29" s="12">
        <v>8</v>
      </c>
      <c r="AR29" s="12">
        <v>10</v>
      </c>
      <c r="AS29" s="12">
        <v>13</v>
      </c>
      <c r="AT29" s="12">
        <v>26</v>
      </c>
      <c r="AU29" s="12">
        <v>15</v>
      </c>
      <c r="AV29" s="12">
        <v>10</v>
      </c>
      <c r="AW29" s="12">
        <v>10</v>
      </c>
      <c r="AX29" s="12">
        <v>17</v>
      </c>
      <c r="AY29" s="12">
        <v>7</v>
      </c>
      <c r="AZ29" s="12">
        <v>15</v>
      </c>
      <c r="BA29" s="12">
        <v>41</v>
      </c>
      <c r="BB29" s="12">
        <v>61</v>
      </c>
      <c r="BC29" s="12">
        <v>15</v>
      </c>
      <c r="BD29" s="12">
        <v>7</v>
      </c>
      <c r="BE29" s="12">
        <v>14</v>
      </c>
      <c r="BF29" s="12">
        <v>22</v>
      </c>
      <c r="BG29" s="12">
        <v>5</v>
      </c>
    </row>
    <row r="30" spans="1:59" x14ac:dyDescent="0.25">
      <c r="A30" t="s">
        <v>231</v>
      </c>
      <c r="B30" s="8" t="s">
        <v>15</v>
      </c>
      <c r="C30" s="12">
        <v>2524.9499999999998</v>
      </c>
      <c r="D30" s="12">
        <v>2524.9499999999998</v>
      </c>
      <c r="E30" s="12">
        <v>2524.9499999999998</v>
      </c>
      <c r="F30" s="12">
        <v>2500</v>
      </c>
      <c r="G30" s="12">
        <v>2524.9499999999998</v>
      </c>
      <c r="H30" s="12">
        <v>2524.9499999999998</v>
      </c>
      <c r="I30" s="12">
        <v>2524.9499999999998</v>
      </c>
      <c r="J30" s="12">
        <v>2524.9499999999998</v>
      </c>
      <c r="K30" s="12">
        <v>2500</v>
      </c>
      <c r="L30" s="12">
        <v>8480</v>
      </c>
      <c r="M30" s="12">
        <v>2524.9499999999998</v>
      </c>
      <c r="N30" s="12">
        <v>2524.9499999999998</v>
      </c>
      <c r="O30" s="12">
        <v>2524.9499999999998</v>
      </c>
      <c r="P30" s="18">
        <v>2524.9499999999998</v>
      </c>
      <c r="Q30" s="12">
        <v>2524.9499999999998</v>
      </c>
      <c r="R30" s="12">
        <v>2500</v>
      </c>
      <c r="S30" s="12">
        <v>2500</v>
      </c>
      <c r="T30" s="12">
        <v>2454.9499999999998</v>
      </c>
      <c r="U30" s="12">
        <v>2500</v>
      </c>
      <c r="V30" s="12">
        <v>2524.9499999999998</v>
      </c>
      <c r="W30" s="12">
        <v>2524.9499999999998</v>
      </c>
      <c r="X30" s="12">
        <v>2524.9499999999998</v>
      </c>
      <c r="Y30" s="12">
        <v>2938</v>
      </c>
      <c r="Z30" s="12">
        <v>2621.59</v>
      </c>
      <c r="AA30" s="12">
        <v>2500</v>
      </c>
      <c r="AB30" s="12">
        <v>2480</v>
      </c>
      <c r="AC30" s="12">
        <v>2200</v>
      </c>
      <c r="AD30" s="12">
        <v>2331</v>
      </c>
      <c r="AE30" s="12">
        <v>2524.9499999999998</v>
      </c>
      <c r="AF30" s="12">
        <v>6700</v>
      </c>
      <c r="AG30" s="12">
        <v>2524.9499999999998</v>
      </c>
      <c r="AH30" s="12">
        <v>2524.9499999999998</v>
      </c>
      <c r="AI30" s="12">
        <v>2524.9499999999998</v>
      </c>
      <c r="AJ30" s="12">
        <v>2524.9499999999998</v>
      </c>
      <c r="AK30" s="12">
        <v>2524.9499999999998</v>
      </c>
      <c r="AL30" s="12">
        <v>2524.9499999999998</v>
      </c>
      <c r="AM30" s="12">
        <v>2524.9499999999998</v>
      </c>
      <c r="AN30" s="12">
        <v>2525</v>
      </c>
      <c r="AO30" s="12">
        <v>2524.9499999999998</v>
      </c>
      <c r="AP30" s="12">
        <v>2524.9499999999998</v>
      </c>
      <c r="AQ30" s="12">
        <v>22000</v>
      </c>
      <c r="AR30" s="12">
        <v>2524.9499999999998</v>
      </c>
      <c r="AS30" s="12">
        <v>2525</v>
      </c>
      <c r="AT30" s="12">
        <v>2480</v>
      </c>
      <c r="AU30" s="12">
        <v>2524.9499999999998</v>
      </c>
      <c r="AV30" s="12">
        <v>2524.9499999999998</v>
      </c>
      <c r="AW30" s="12">
        <v>1802000</v>
      </c>
      <c r="AX30" s="12">
        <v>2500</v>
      </c>
      <c r="AY30" s="12">
        <v>2500</v>
      </c>
      <c r="AZ30" s="12">
        <v>13109.2</v>
      </c>
      <c r="BA30" s="12">
        <v>2524.9499999999998</v>
      </c>
      <c r="BB30" s="12">
        <v>2500</v>
      </c>
      <c r="BC30" s="12">
        <v>2525</v>
      </c>
      <c r="BD30" s="12">
        <v>2520</v>
      </c>
      <c r="BE30" s="12">
        <v>2524.9499999999998</v>
      </c>
      <c r="BF30" s="12">
        <v>2025</v>
      </c>
      <c r="BG30" s="12">
        <v>2524.9499999999998</v>
      </c>
    </row>
    <row r="31" spans="1:59" x14ac:dyDescent="0.25">
      <c r="A31" t="s">
        <v>233</v>
      </c>
      <c r="B31" s="9" t="s">
        <v>100</v>
      </c>
      <c r="C31" s="12">
        <f>IF(C30=2524.95,1,0)</f>
        <v>1</v>
      </c>
      <c r="D31" s="12">
        <f t="shared" ref="D31:AC31" si="8">IF(D30=2524.95,1,0)</f>
        <v>1</v>
      </c>
      <c r="E31" s="12">
        <f t="shared" si="8"/>
        <v>1</v>
      </c>
      <c r="F31" s="12">
        <f t="shared" si="8"/>
        <v>0</v>
      </c>
      <c r="G31" s="12">
        <f t="shared" si="8"/>
        <v>1</v>
      </c>
      <c r="H31" s="12">
        <f t="shared" si="8"/>
        <v>1</v>
      </c>
      <c r="I31" s="12">
        <f t="shared" si="8"/>
        <v>1</v>
      </c>
      <c r="J31" s="12">
        <f t="shared" si="8"/>
        <v>1</v>
      </c>
      <c r="K31" s="12">
        <f t="shared" si="8"/>
        <v>0</v>
      </c>
      <c r="L31" s="12">
        <f t="shared" si="8"/>
        <v>0</v>
      </c>
      <c r="M31" s="12">
        <f t="shared" si="8"/>
        <v>1</v>
      </c>
      <c r="N31" s="12">
        <f t="shared" si="8"/>
        <v>1</v>
      </c>
      <c r="O31" s="12">
        <f t="shared" si="8"/>
        <v>1</v>
      </c>
      <c r="P31" s="12">
        <f t="shared" si="8"/>
        <v>1</v>
      </c>
      <c r="Q31" s="12">
        <f t="shared" si="8"/>
        <v>1</v>
      </c>
      <c r="R31" s="12">
        <f t="shared" si="8"/>
        <v>0</v>
      </c>
      <c r="S31" s="12">
        <f t="shared" si="8"/>
        <v>0</v>
      </c>
      <c r="T31" s="12">
        <f t="shared" si="8"/>
        <v>0</v>
      </c>
      <c r="U31" s="12">
        <f t="shared" si="8"/>
        <v>0</v>
      </c>
      <c r="V31" s="12">
        <f t="shared" si="8"/>
        <v>1</v>
      </c>
      <c r="W31" s="12">
        <f t="shared" si="8"/>
        <v>1</v>
      </c>
      <c r="X31" s="12">
        <f t="shared" si="8"/>
        <v>1</v>
      </c>
      <c r="Y31" s="12">
        <f t="shared" si="8"/>
        <v>0</v>
      </c>
      <c r="Z31" s="12">
        <f t="shared" si="8"/>
        <v>0</v>
      </c>
      <c r="AA31" s="12">
        <f t="shared" si="8"/>
        <v>0</v>
      </c>
      <c r="AB31" s="12">
        <f t="shared" si="8"/>
        <v>0</v>
      </c>
      <c r="AC31" s="12">
        <f t="shared" si="8"/>
        <v>0</v>
      </c>
      <c r="AD31" s="12">
        <f>IF(AD30=2524.95,1,0)</f>
        <v>0</v>
      </c>
      <c r="AE31" s="12">
        <f t="shared" ref="AE31:BG31" si="9">IF(AE30=2524.95,1,0)</f>
        <v>1</v>
      </c>
      <c r="AF31" s="12">
        <f t="shared" si="9"/>
        <v>0</v>
      </c>
      <c r="AG31" s="12">
        <f t="shared" si="9"/>
        <v>1</v>
      </c>
      <c r="AH31" s="12">
        <f t="shared" si="9"/>
        <v>1</v>
      </c>
      <c r="AI31" s="12">
        <f t="shared" si="9"/>
        <v>1</v>
      </c>
      <c r="AJ31" s="12">
        <f t="shared" si="9"/>
        <v>1</v>
      </c>
      <c r="AK31" s="12">
        <f t="shared" si="9"/>
        <v>1</v>
      </c>
      <c r="AL31" s="12">
        <f t="shared" si="9"/>
        <v>1</v>
      </c>
      <c r="AM31" s="12">
        <f t="shared" si="9"/>
        <v>1</v>
      </c>
      <c r="AN31" s="12">
        <v>1</v>
      </c>
      <c r="AO31" s="12">
        <f t="shared" si="9"/>
        <v>1</v>
      </c>
      <c r="AP31" s="12">
        <f t="shared" si="9"/>
        <v>1</v>
      </c>
      <c r="AQ31" s="12">
        <f t="shared" si="9"/>
        <v>0</v>
      </c>
      <c r="AR31" s="12">
        <f t="shared" si="9"/>
        <v>1</v>
      </c>
      <c r="AS31" s="12">
        <v>1</v>
      </c>
      <c r="AT31" s="12">
        <f t="shared" si="9"/>
        <v>0</v>
      </c>
      <c r="AU31" s="12">
        <f t="shared" si="9"/>
        <v>1</v>
      </c>
      <c r="AV31" s="12">
        <f t="shared" si="9"/>
        <v>1</v>
      </c>
      <c r="AW31" s="12">
        <f t="shared" si="9"/>
        <v>0</v>
      </c>
      <c r="AX31" s="12">
        <f t="shared" si="9"/>
        <v>0</v>
      </c>
      <c r="AY31" s="12">
        <f t="shared" si="9"/>
        <v>0</v>
      </c>
      <c r="AZ31" s="12">
        <f t="shared" si="9"/>
        <v>0</v>
      </c>
      <c r="BA31" s="12">
        <f t="shared" si="9"/>
        <v>1</v>
      </c>
      <c r="BB31" s="12">
        <f t="shared" si="9"/>
        <v>0</v>
      </c>
      <c r="BC31" s="12">
        <f t="shared" si="9"/>
        <v>0</v>
      </c>
      <c r="BD31" s="12">
        <f t="shared" si="9"/>
        <v>0</v>
      </c>
      <c r="BE31" s="12">
        <f t="shared" si="9"/>
        <v>1</v>
      </c>
      <c r="BF31" s="12">
        <f t="shared" si="9"/>
        <v>0</v>
      </c>
      <c r="BG31" s="12">
        <f t="shared" si="9"/>
        <v>1</v>
      </c>
    </row>
    <row r="32" spans="1:59" x14ac:dyDescent="0.25">
      <c r="A32" t="s">
        <v>234</v>
      </c>
      <c r="B32" s="9" t="s">
        <v>149</v>
      </c>
      <c r="C32" s="12">
        <v>128</v>
      </c>
      <c r="D32" s="12">
        <v>56</v>
      </c>
      <c r="E32" s="12">
        <v>17</v>
      </c>
      <c r="F32" s="12">
        <v>9</v>
      </c>
      <c r="G32" s="12">
        <v>117</v>
      </c>
      <c r="H32" s="12">
        <v>46</v>
      </c>
      <c r="I32" s="12">
        <v>269</v>
      </c>
      <c r="J32" s="12">
        <v>290</v>
      </c>
      <c r="K32" s="12">
        <v>104</v>
      </c>
      <c r="L32" s="12">
        <v>276</v>
      </c>
      <c r="M32" s="12">
        <v>104</v>
      </c>
      <c r="N32" s="12">
        <v>34</v>
      </c>
      <c r="O32" s="12">
        <v>28</v>
      </c>
      <c r="P32" s="12">
        <v>124</v>
      </c>
      <c r="Q32" s="12">
        <v>11</v>
      </c>
      <c r="R32" s="12">
        <v>15</v>
      </c>
      <c r="S32" s="12">
        <v>6</v>
      </c>
      <c r="T32" s="12">
        <v>27</v>
      </c>
      <c r="U32" s="12">
        <v>7</v>
      </c>
      <c r="V32" s="12">
        <v>153</v>
      </c>
      <c r="W32" s="12">
        <v>18</v>
      </c>
      <c r="X32" s="12">
        <v>66</v>
      </c>
      <c r="Y32" s="12">
        <v>213</v>
      </c>
      <c r="Z32" s="12">
        <v>149</v>
      </c>
      <c r="AA32" s="12">
        <v>5</v>
      </c>
      <c r="AB32" s="12">
        <v>66</v>
      </c>
      <c r="AC32" s="12">
        <v>40</v>
      </c>
      <c r="AD32" s="12">
        <v>28</v>
      </c>
      <c r="AE32" s="12">
        <v>35</v>
      </c>
      <c r="AF32" s="12">
        <v>8</v>
      </c>
      <c r="AG32" s="12">
        <v>15</v>
      </c>
      <c r="AH32" s="12">
        <v>51</v>
      </c>
      <c r="AI32" s="12">
        <v>30</v>
      </c>
      <c r="AJ32" s="12">
        <v>811</v>
      </c>
      <c r="AK32" s="12">
        <v>34</v>
      </c>
      <c r="AL32" s="12">
        <v>20</v>
      </c>
      <c r="AM32" s="12">
        <v>35</v>
      </c>
      <c r="AN32" s="12">
        <v>31</v>
      </c>
      <c r="AO32" s="12">
        <v>56</v>
      </c>
      <c r="AP32" s="12">
        <v>54</v>
      </c>
      <c r="AQ32" s="12">
        <v>15</v>
      </c>
      <c r="AR32" s="12">
        <v>25</v>
      </c>
      <c r="AS32" s="12">
        <v>22</v>
      </c>
      <c r="AT32" s="12">
        <v>418</v>
      </c>
      <c r="AU32" s="12">
        <v>33</v>
      </c>
      <c r="AV32" s="12">
        <v>25</v>
      </c>
      <c r="AW32" s="12">
        <v>30</v>
      </c>
      <c r="AX32" s="12">
        <v>4</v>
      </c>
      <c r="AY32" s="12">
        <v>9</v>
      </c>
      <c r="AZ32" s="12">
        <v>66</v>
      </c>
      <c r="BA32" s="12">
        <v>32</v>
      </c>
      <c r="BB32" s="12">
        <v>10</v>
      </c>
      <c r="BC32" s="12">
        <v>102</v>
      </c>
      <c r="BD32" s="12">
        <v>35</v>
      </c>
      <c r="BE32" s="12">
        <v>26</v>
      </c>
      <c r="BF32" s="12">
        <v>102</v>
      </c>
      <c r="BG32" s="12">
        <v>13</v>
      </c>
    </row>
    <row r="33" spans="1:59" x14ac:dyDescent="0.25">
      <c r="A33" t="s">
        <v>236</v>
      </c>
      <c r="B33" s="8" t="s">
        <v>14</v>
      </c>
      <c r="C33" s="12">
        <v>1980.23</v>
      </c>
      <c r="D33" s="12">
        <v>1980.23</v>
      </c>
      <c r="E33" s="12">
        <v>1980.23</v>
      </c>
      <c r="F33" s="12">
        <v>625</v>
      </c>
      <c r="G33" s="12">
        <v>1980.23</v>
      </c>
      <c r="H33" s="12">
        <v>1980.23</v>
      </c>
      <c r="I33" s="12">
        <v>2000</v>
      </c>
      <c r="J33" s="12">
        <v>1984.13</v>
      </c>
      <c r="K33" s="12">
        <v>1980.23</v>
      </c>
      <c r="L33" s="12">
        <v>1980.2</v>
      </c>
      <c r="M33" s="12">
        <v>2011.78</v>
      </c>
      <c r="N33" s="12">
        <v>1980.23</v>
      </c>
      <c r="O33" s="12">
        <v>1980.23</v>
      </c>
      <c r="P33" s="18">
        <v>2000</v>
      </c>
      <c r="Q33" s="12">
        <v>2500</v>
      </c>
      <c r="R33" s="12">
        <v>2525</v>
      </c>
      <c r="S33" s="12">
        <v>56000</v>
      </c>
      <c r="T33" s="12">
        <v>1980.23</v>
      </c>
      <c r="U33" s="12">
        <v>1980.23</v>
      </c>
      <c r="V33" s="12">
        <v>1980.25</v>
      </c>
      <c r="W33" s="12">
        <v>1980.23</v>
      </c>
      <c r="X33" s="12">
        <v>1980.23</v>
      </c>
      <c r="Y33" s="12">
        <v>1900</v>
      </c>
      <c r="Z33" s="12">
        <v>1980.23</v>
      </c>
      <c r="AA33" s="12">
        <v>1980.23</v>
      </c>
      <c r="AB33" s="12">
        <v>589.62</v>
      </c>
      <c r="AC33" s="12">
        <v>700</v>
      </c>
      <c r="AD33" s="12">
        <v>150</v>
      </c>
      <c r="AE33" s="12">
        <v>1980.23</v>
      </c>
      <c r="AF33" s="12">
        <v>888</v>
      </c>
      <c r="AG33" s="12">
        <v>1900</v>
      </c>
      <c r="AH33" s="12">
        <v>1980.23</v>
      </c>
      <c r="AI33" s="12">
        <v>1980.23</v>
      </c>
      <c r="AJ33" s="12">
        <v>1980.23</v>
      </c>
      <c r="AK33" s="12">
        <v>1980.2</v>
      </c>
      <c r="AL33" s="12">
        <v>1980.23</v>
      </c>
      <c r="AM33" s="12">
        <v>1980.23</v>
      </c>
      <c r="AN33" s="12">
        <v>1980</v>
      </c>
      <c r="AO33" s="12">
        <v>1980.23</v>
      </c>
      <c r="AP33" s="12">
        <v>1980.23</v>
      </c>
      <c r="AQ33" s="12">
        <v>26000</v>
      </c>
      <c r="AR33" s="12">
        <v>1980.23</v>
      </c>
      <c r="AS33" s="12">
        <v>1980</v>
      </c>
      <c r="AT33" s="12">
        <v>600</v>
      </c>
      <c r="AU33" s="12">
        <v>1980.23</v>
      </c>
      <c r="AV33" s="12">
        <v>1980.23</v>
      </c>
      <c r="AW33" s="12">
        <v>1.04</v>
      </c>
      <c r="AX33" s="12">
        <v>1.04</v>
      </c>
      <c r="AY33" s="12">
        <v>2000</v>
      </c>
      <c r="AZ33" s="12">
        <v>1980.23</v>
      </c>
      <c r="BA33" s="12">
        <v>1980.23</v>
      </c>
      <c r="BB33" s="12">
        <v>1980.23</v>
      </c>
      <c r="BC33" s="12">
        <v>500</v>
      </c>
      <c r="BD33" s="12">
        <v>1981</v>
      </c>
      <c r="BE33" s="12">
        <v>1980.23</v>
      </c>
      <c r="BF33" s="12">
        <v>1980.35</v>
      </c>
      <c r="BG33" s="12">
        <v>1980.23</v>
      </c>
    </row>
    <row r="34" spans="1:59" x14ac:dyDescent="0.25">
      <c r="A34" t="s">
        <v>237</v>
      </c>
      <c r="B34" s="9" t="s">
        <v>99</v>
      </c>
      <c r="C34" s="12">
        <f>IF(C33=1980.23,1,0)</f>
        <v>1</v>
      </c>
      <c r="D34" s="12">
        <f t="shared" ref="D34:AC34" si="10">IF(D33=1980.23,1,0)</f>
        <v>1</v>
      </c>
      <c r="E34" s="12">
        <f t="shared" si="10"/>
        <v>1</v>
      </c>
      <c r="F34" s="12">
        <f t="shared" si="10"/>
        <v>0</v>
      </c>
      <c r="G34" s="12">
        <f t="shared" si="10"/>
        <v>1</v>
      </c>
      <c r="H34" s="12">
        <f t="shared" si="10"/>
        <v>1</v>
      </c>
      <c r="I34" s="12">
        <f t="shared" si="10"/>
        <v>0</v>
      </c>
      <c r="J34" s="12">
        <f t="shared" si="10"/>
        <v>0</v>
      </c>
      <c r="K34" s="12">
        <f t="shared" si="10"/>
        <v>1</v>
      </c>
      <c r="L34" s="12">
        <v>1</v>
      </c>
      <c r="M34" s="12">
        <f t="shared" si="10"/>
        <v>0</v>
      </c>
      <c r="N34" s="12">
        <f t="shared" si="10"/>
        <v>1</v>
      </c>
      <c r="O34" s="12">
        <f t="shared" si="10"/>
        <v>1</v>
      </c>
      <c r="P34" s="12">
        <f t="shared" si="10"/>
        <v>0</v>
      </c>
      <c r="Q34" s="12">
        <f t="shared" si="10"/>
        <v>0</v>
      </c>
      <c r="R34" s="12">
        <f t="shared" si="10"/>
        <v>0</v>
      </c>
      <c r="S34" s="12">
        <f t="shared" si="10"/>
        <v>0</v>
      </c>
      <c r="T34" s="12">
        <f t="shared" si="10"/>
        <v>1</v>
      </c>
      <c r="U34" s="12">
        <f t="shared" si="10"/>
        <v>1</v>
      </c>
      <c r="V34" s="12">
        <v>1</v>
      </c>
      <c r="W34" s="12">
        <f t="shared" si="10"/>
        <v>1</v>
      </c>
      <c r="X34" s="12">
        <f t="shared" si="10"/>
        <v>1</v>
      </c>
      <c r="Y34" s="12">
        <f t="shared" si="10"/>
        <v>0</v>
      </c>
      <c r="Z34" s="12">
        <f t="shared" si="10"/>
        <v>1</v>
      </c>
      <c r="AA34" s="12">
        <f t="shared" si="10"/>
        <v>1</v>
      </c>
      <c r="AB34" s="12">
        <f t="shared" si="10"/>
        <v>0</v>
      </c>
      <c r="AC34" s="12">
        <f t="shared" si="10"/>
        <v>0</v>
      </c>
      <c r="AD34" s="12">
        <f>IF(AD33=1980.23,1,0)</f>
        <v>0</v>
      </c>
      <c r="AE34" s="12">
        <f t="shared" ref="AE34:BG34" si="11">IF(AE33=1980.23,1,0)</f>
        <v>1</v>
      </c>
      <c r="AF34" s="12">
        <f t="shared" si="11"/>
        <v>0</v>
      </c>
      <c r="AG34" s="12">
        <f t="shared" si="11"/>
        <v>0</v>
      </c>
      <c r="AH34" s="12">
        <f t="shared" si="11"/>
        <v>1</v>
      </c>
      <c r="AI34" s="12">
        <f t="shared" si="11"/>
        <v>1</v>
      </c>
      <c r="AJ34" s="12">
        <f t="shared" si="11"/>
        <v>1</v>
      </c>
      <c r="AK34" s="12">
        <f t="shared" si="11"/>
        <v>0</v>
      </c>
      <c r="AL34" s="12">
        <f t="shared" si="11"/>
        <v>1</v>
      </c>
      <c r="AM34" s="12">
        <f t="shared" si="11"/>
        <v>1</v>
      </c>
      <c r="AN34" s="12">
        <v>1</v>
      </c>
      <c r="AO34" s="12">
        <f t="shared" si="11"/>
        <v>1</v>
      </c>
      <c r="AP34" s="12">
        <f t="shared" si="11"/>
        <v>1</v>
      </c>
      <c r="AQ34" s="12">
        <f t="shared" si="11"/>
        <v>0</v>
      </c>
      <c r="AR34" s="12">
        <f t="shared" si="11"/>
        <v>1</v>
      </c>
      <c r="AS34" s="12">
        <v>1</v>
      </c>
      <c r="AT34" s="12">
        <f t="shared" si="11"/>
        <v>0</v>
      </c>
      <c r="AU34" s="12">
        <f t="shared" si="11"/>
        <v>1</v>
      </c>
      <c r="AV34" s="12">
        <f t="shared" si="11"/>
        <v>1</v>
      </c>
      <c r="AW34" s="12">
        <f t="shared" si="11"/>
        <v>0</v>
      </c>
      <c r="AX34" s="12">
        <f t="shared" si="11"/>
        <v>0</v>
      </c>
      <c r="AY34" s="12">
        <f t="shared" si="11"/>
        <v>0</v>
      </c>
      <c r="AZ34" s="12">
        <f t="shared" si="11"/>
        <v>1</v>
      </c>
      <c r="BA34" s="12">
        <f t="shared" si="11"/>
        <v>1</v>
      </c>
      <c r="BB34" s="12">
        <f t="shared" si="11"/>
        <v>1</v>
      </c>
      <c r="BC34" s="12">
        <f t="shared" si="11"/>
        <v>0</v>
      </c>
      <c r="BD34" s="12">
        <v>1</v>
      </c>
      <c r="BE34" s="12">
        <f t="shared" si="11"/>
        <v>1</v>
      </c>
      <c r="BF34" s="12">
        <f t="shared" si="11"/>
        <v>0</v>
      </c>
      <c r="BG34" s="12">
        <f t="shared" si="11"/>
        <v>1</v>
      </c>
    </row>
    <row r="35" spans="1:59" x14ac:dyDescent="0.25">
      <c r="A35" t="s">
        <v>238</v>
      </c>
      <c r="B35" s="9" t="s">
        <v>148</v>
      </c>
      <c r="C35" s="12">
        <v>39</v>
      </c>
      <c r="D35" s="12">
        <v>26</v>
      </c>
      <c r="E35" s="12">
        <v>32</v>
      </c>
      <c r="F35" s="12">
        <v>39</v>
      </c>
      <c r="G35" s="12">
        <v>168</v>
      </c>
      <c r="H35" s="12">
        <v>31</v>
      </c>
      <c r="I35" s="12">
        <v>210</v>
      </c>
      <c r="J35" s="12">
        <v>127</v>
      </c>
      <c r="K35" s="12">
        <v>400</v>
      </c>
      <c r="L35" s="12">
        <v>303</v>
      </c>
      <c r="M35" s="12">
        <v>41</v>
      </c>
      <c r="N35" s="12">
        <v>20</v>
      </c>
      <c r="O35" s="12">
        <v>30</v>
      </c>
      <c r="P35" s="12">
        <v>24</v>
      </c>
      <c r="Q35" s="12">
        <v>18</v>
      </c>
      <c r="R35" s="12">
        <v>86</v>
      </c>
      <c r="S35" s="12">
        <v>197</v>
      </c>
      <c r="T35" s="12">
        <v>85</v>
      </c>
      <c r="U35" s="12">
        <v>52</v>
      </c>
      <c r="V35" s="12">
        <v>148</v>
      </c>
      <c r="W35" s="12">
        <v>22</v>
      </c>
      <c r="X35" s="12">
        <v>95</v>
      </c>
      <c r="Y35" s="12">
        <v>33</v>
      </c>
      <c r="Z35" s="12">
        <v>98</v>
      </c>
      <c r="AA35" s="12">
        <v>27</v>
      </c>
      <c r="AB35" s="12">
        <v>150</v>
      </c>
      <c r="AC35" s="12">
        <v>24</v>
      </c>
      <c r="AD35" s="12">
        <v>40</v>
      </c>
      <c r="AE35" s="12">
        <v>41</v>
      </c>
      <c r="AF35" s="12">
        <v>4</v>
      </c>
      <c r="AG35" s="12">
        <v>456</v>
      </c>
      <c r="AH35" s="12">
        <v>41</v>
      </c>
      <c r="AI35" s="12">
        <v>61</v>
      </c>
      <c r="AJ35" s="12">
        <v>205</v>
      </c>
      <c r="AK35" s="12">
        <v>44</v>
      </c>
      <c r="AL35" s="12">
        <v>16</v>
      </c>
      <c r="AM35" s="12">
        <v>21</v>
      </c>
      <c r="AN35" s="12">
        <v>18</v>
      </c>
      <c r="AO35" s="12">
        <v>21</v>
      </c>
      <c r="AP35" s="12">
        <v>68</v>
      </c>
      <c r="AQ35" s="12">
        <v>17</v>
      </c>
      <c r="AR35" s="12">
        <v>27</v>
      </c>
      <c r="AS35" s="12">
        <v>30</v>
      </c>
      <c r="AT35" s="12">
        <v>124</v>
      </c>
      <c r="AU35" s="12">
        <v>20</v>
      </c>
      <c r="AV35" s="12">
        <v>27</v>
      </c>
      <c r="AW35" s="12">
        <v>82</v>
      </c>
      <c r="AX35" s="12">
        <v>124</v>
      </c>
      <c r="AY35" s="12">
        <v>14</v>
      </c>
      <c r="AZ35" s="12">
        <v>81</v>
      </c>
      <c r="BA35" s="12">
        <v>21</v>
      </c>
      <c r="BB35" s="12">
        <v>204</v>
      </c>
      <c r="BC35" s="12">
        <v>30</v>
      </c>
      <c r="BD35" s="12">
        <v>9</v>
      </c>
      <c r="BE35" s="12">
        <v>19</v>
      </c>
      <c r="BF35" s="12">
        <v>136</v>
      </c>
      <c r="BG35" s="12">
        <v>9</v>
      </c>
    </row>
    <row r="36" spans="1:59" x14ac:dyDescent="0.25">
      <c r="A36" t="s">
        <v>241</v>
      </c>
      <c r="B36" s="8" t="s">
        <v>16</v>
      </c>
      <c r="C36" s="12">
        <v>1</v>
      </c>
      <c r="D36" s="12">
        <v>0</v>
      </c>
      <c r="E36" s="12">
        <v>1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1</v>
      </c>
      <c r="N36" s="12">
        <v>1</v>
      </c>
      <c r="O36" s="12">
        <v>1</v>
      </c>
      <c r="P36" s="18">
        <v>0</v>
      </c>
      <c r="Q36" s="12">
        <v>1</v>
      </c>
      <c r="R36" s="12">
        <v>0</v>
      </c>
      <c r="S36" s="12">
        <v>1</v>
      </c>
      <c r="T36" s="12">
        <v>1</v>
      </c>
      <c r="U36" s="12">
        <v>1</v>
      </c>
      <c r="V36" s="12">
        <v>1</v>
      </c>
      <c r="W36" s="12">
        <v>1</v>
      </c>
      <c r="X36" s="12">
        <v>1</v>
      </c>
      <c r="Y36" s="12">
        <v>1</v>
      </c>
      <c r="Z36" s="12">
        <v>0</v>
      </c>
      <c r="AA36" s="12">
        <v>0</v>
      </c>
      <c r="AB36" s="12">
        <v>0</v>
      </c>
      <c r="AC36" s="12">
        <v>0</v>
      </c>
      <c r="AD36" s="12">
        <v>1</v>
      </c>
      <c r="AE36" s="12">
        <v>0</v>
      </c>
      <c r="AF36" s="12">
        <v>1</v>
      </c>
      <c r="AG36" s="12">
        <v>0</v>
      </c>
      <c r="AH36" s="12">
        <v>1</v>
      </c>
      <c r="AI36" s="12">
        <v>0</v>
      </c>
      <c r="AJ36" s="12">
        <v>0</v>
      </c>
      <c r="AK36" s="12">
        <v>0</v>
      </c>
      <c r="AL36" s="12">
        <v>1</v>
      </c>
      <c r="AM36" s="12">
        <v>1</v>
      </c>
      <c r="AN36" s="12">
        <v>0</v>
      </c>
      <c r="AO36" s="12">
        <v>1</v>
      </c>
      <c r="AP36" s="12">
        <v>1</v>
      </c>
      <c r="AQ36" s="12">
        <v>1</v>
      </c>
      <c r="AR36" s="12">
        <v>0</v>
      </c>
      <c r="AS36" s="12">
        <v>0</v>
      </c>
      <c r="AT36" s="12">
        <v>1</v>
      </c>
      <c r="AU36" s="12">
        <v>1</v>
      </c>
      <c r="AV36" s="12">
        <v>1</v>
      </c>
      <c r="AW36" s="12">
        <v>0</v>
      </c>
      <c r="AX36" s="12">
        <v>1</v>
      </c>
      <c r="AY36" s="12">
        <v>1</v>
      </c>
      <c r="AZ36" s="12">
        <v>1</v>
      </c>
      <c r="BA36" s="12">
        <v>0</v>
      </c>
      <c r="BB36" s="12">
        <v>0</v>
      </c>
      <c r="BC36" s="12">
        <v>0</v>
      </c>
      <c r="BD36" s="12">
        <v>1</v>
      </c>
      <c r="BE36" s="12">
        <v>1</v>
      </c>
      <c r="BF36" s="12">
        <v>1</v>
      </c>
      <c r="BG36" s="12">
        <v>1</v>
      </c>
    </row>
    <row r="37" spans="1:59" x14ac:dyDescent="0.25">
      <c r="A37" t="s">
        <v>246</v>
      </c>
      <c r="B37" s="9" t="s">
        <v>101</v>
      </c>
      <c r="C37" s="12">
        <f>IF(C36=1,1,0)</f>
        <v>1</v>
      </c>
      <c r="D37" s="12">
        <f t="shared" ref="D37:AC37" si="12">IF(D36=1,1,0)</f>
        <v>0</v>
      </c>
      <c r="E37" s="12">
        <f t="shared" si="12"/>
        <v>1</v>
      </c>
      <c r="F37" s="12">
        <f t="shared" si="12"/>
        <v>0</v>
      </c>
      <c r="G37" s="12">
        <f t="shared" si="12"/>
        <v>0</v>
      </c>
      <c r="H37" s="12">
        <f t="shared" si="12"/>
        <v>0</v>
      </c>
      <c r="I37" s="12">
        <f t="shared" si="12"/>
        <v>0</v>
      </c>
      <c r="J37" s="12">
        <f t="shared" si="12"/>
        <v>0</v>
      </c>
      <c r="K37" s="12">
        <f t="shared" si="12"/>
        <v>0</v>
      </c>
      <c r="L37" s="12">
        <f t="shared" si="12"/>
        <v>0</v>
      </c>
      <c r="M37" s="12">
        <f t="shared" si="12"/>
        <v>1</v>
      </c>
      <c r="N37" s="12">
        <f t="shared" si="12"/>
        <v>1</v>
      </c>
      <c r="O37" s="12">
        <f t="shared" si="12"/>
        <v>1</v>
      </c>
      <c r="P37" s="12">
        <f t="shared" si="12"/>
        <v>0</v>
      </c>
      <c r="Q37" s="12">
        <f t="shared" si="12"/>
        <v>1</v>
      </c>
      <c r="R37" s="12">
        <f t="shared" si="12"/>
        <v>0</v>
      </c>
      <c r="S37" s="12">
        <f t="shared" si="12"/>
        <v>1</v>
      </c>
      <c r="T37" s="12">
        <f t="shared" si="12"/>
        <v>1</v>
      </c>
      <c r="U37" s="12">
        <f t="shared" si="12"/>
        <v>1</v>
      </c>
      <c r="V37" s="12">
        <f t="shared" si="12"/>
        <v>1</v>
      </c>
      <c r="W37" s="12">
        <f t="shared" si="12"/>
        <v>1</v>
      </c>
      <c r="X37" s="12">
        <f t="shared" si="12"/>
        <v>1</v>
      </c>
      <c r="Y37" s="12">
        <f t="shared" si="12"/>
        <v>1</v>
      </c>
      <c r="Z37" s="12">
        <f t="shared" si="12"/>
        <v>0</v>
      </c>
      <c r="AA37" s="12">
        <f t="shared" si="12"/>
        <v>0</v>
      </c>
      <c r="AB37" s="12">
        <f t="shared" si="12"/>
        <v>0</v>
      </c>
      <c r="AC37" s="12">
        <f t="shared" si="12"/>
        <v>0</v>
      </c>
      <c r="AD37" s="12">
        <f>IF(AD36=1,1,0)</f>
        <v>1</v>
      </c>
      <c r="AE37" s="12">
        <f t="shared" ref="AE37:BG37" si="13">IF(AE36=1,1,0)</f>
        <v>0</v>
      </c>
      <c r="AF37" s="12">
        <f t="shared" si="13"/>
        <v>1</v>
      </c>
      <c r="AG37" s="12">
        <f t="shared" si="13"/>
        <v>0</v>
      </c>
      <c r="AH37" s="12">
        <f t="shared" si="13"/>
        <v>1</v>
      </c>
      <c r="AI37" s="12">
        <f t="shared" si="13"/>
        <v>0</v>
      </c>
      <c r="AJ37" s="12">
        <f t="shared" si="13"/>
        <v>0</v>
      </c>
      <c r="AK37" s="12">
        <f t="shared" si="13"/>
        <v>0</v>
      </c>
      <c r="AL37" s="12">
        <f t="shared" si="13"/>
        <v>1</v>
      </c>
      <c r="AM37" s="12">
        <f t="shared" si="13"/>
        <v>1</v>
      </c>
      <c r="AN37" s="12">
        <f t="shared" si="13"/>
        <v>0</v>
      </c>
      <c r="AO37" s="12">
        <f t="shared" si="13"/>
        <v>1</v>
      </c>
      <c r="AP37" s="12">
        <f t="shared" si="13"/>
        <v>1</v>
      </c>
      <c r="AQ37" s="12">
        <f t="shared" si="13"/>
        <v>1</v>
      </c>
      <c r="AR37" s="12">
        <f t="shared" si="13"/>
        <v>0</v>
      </c>
      <c r="AS37" s="12">
        <f t="shared" si="13"/>
        <v>0</v>
      </c>
      <c r="AT37" s="12">
        <f t="shared" si="13"/>
        <v>1</v>
      </c>
      <c r="AU37" s="12">
        <f t="shared" si="13"/>
        <v>1</v>
      </c>
      <c r="AV37" s="12">
        <f t="shared" si="13"/>
        <v>1</v>
      </c>
      <c r="AW37" s="12">
        <f t="shared" si="13"/>
        <v>0</v>
      </c>
      <c r="AX37" s="12">
        <f t="shared" si="13"/>
        <v>1</v>
      </c>
      <c r="AY37" s="12">
        <f t="shared" si="13"/>
        <v>1</v>
      </c>
      <c r="AZ37" s="12">
        <f t="shared" si="13"/>
        <v>1</v>
      </c>
      <c r="BA37" s="12">
        <f t="shared" si="13"/>
        <v>0</v>
      </c>
      <c r="BB37" s="12">
        <f t="shared" si="13"/>
        <v>0</v>
      </c>
      <c r="BC37" s="12">
        <f t="shared" si="13"/>
        <v>0</v>
      </c>
      <c r="BD37" s="12">
        <f t="shared" si="13"/>
        <v>1</v>
      </c>
      <c r="BE37" s="12">
        <f t="shared" si="13"/>
        <v>1</v>
      </c>
      <c r="BF37" s="12">
        <f t="shared" si="13"/>
        <v>1</v>
      </c>
      <c r="BG37" s="12">
        <f t="shared" si="13"/>
        <v>1</v>
      </c>
    </row>
    <row r="38" spans="1:59" x14ac:dyDescent="0.25">
      <c r="A38" t="s">
        <v>248</v>
      </c>
      <c r="B38" s="9" t="s">
        <v>150</v>
      </c>
      <c r="C38" s="12">
        <v>11</v>
      </c>
      <c r="D38" s="12">
        <v>15</v>
      </c>
      <c r="E38" s="12">
        <v>12</v>
      </c>
      <c r="F38" s="12">
        <v>24</v>
      </c>
      <c r="G38" s="12">
        <v>42</v>
      </c>
      <c r="H38" s="12">
        <v>31</v>
      </c>
      <c r="I38" s="12">
        <v>6</v>
      </c>
      <c r="J38" s="12">
        <v>49</v>
      </c>
      <c r="K38" s="12">
        <v>23</v>
      </c>
      <c r="L38" s="12">
        <v>24</v>
      </c>
      <c r="M38" s="12">
        <v>10</v>
      </c>
      <c r="N38" s="12">
        <v>7</v>
      </c>
      <c r="O38" s="12">
        <v>21</v>
      </c>
      <c r="P38" s="12">
        <v>13</v>
      </c>
      <c r="Q38" s="12">
        <v>5</v>
      </c>
      <c r="R38" s="12">
        <v>6</v>
      </c>
      <c r="S38" s="12">
        <v>9</v>
      </c>
      <c r="T38" s="12">
        <v>18</v>
      </c>
      <c r="U38" s="12">
        <v>28</v>
      </c>
      <c r="V38" s="12">
        <v>13</v>
      </c>
      <c r="W38" s="12">
        <v>9</v>
      </c>
      <c r="X38" s="12">
        <v>38</v>
      </c>
      <c r="Y38" s="12">
        <v>32</v>
      </c>
      <c r="Z38" s="12">
        <v>27</v>
      </c>
      <c r="AA38" s="12">
        <v>15</v>
      </c>
      <c r="AB38" s="12">
        <v>8</v>
      </c>
      <c r="AC38" s="12">
        <v>7</v>
      </c>
      <c r="AD38" s="12">
        <v>10</v>
      </c>
      <c r="AE38" s="12">
        <v>4</v>
      </c>
      <c r="AF38" s="12">
        <v>5</v>
      </c>
      <c r="AG38" s="12">
        <v>13</v>
      </c>
      <c r="AH38" s="12">
        <v>3</v>
      </c>
      <c r="AI38" s="12">
        <v>24</v>
      </c>
      <c r="AJ38" s="12">
        <v>9</v>
      </c>
      <c r="AK38" s="12">
        <v>10</v>
      </c>
      <c r="AL38" s="12">
        <v>12</v>
      </c>
      <c r="AM38" s="12">
        <v>44</v>
      </c>
      <c r="AN38" s="12">
        <v>42</v>
      </c>
      <c r="AO38" s="12">
        <v>22</v>
      </c>
      <c r="AP38" s="12">
        <v>9</v>
      </c>
      <c r="AQ38" s="12">
        <v>5</v>
      </c>
      <c r="AR38" s="12">
        <v>6</v>
      </c>
      <c r="AS38" s="12">
        <v>4</v>
      </c>
      <c r="AT38" s="12">
        <v>15</v>
      </c>
      <c r="AU38" s="12">
        <v>7</v>
      </c>
      <c r="AV38" s="12">
        <v>20</v>
      </c>
      <c r="AW38" s="12">
        <v>7</v>
      </c>
      <c r="AX38" s="12">
        <v>7</v>
      </c>
      <c r="AY38" s="12">
        <v>8</v>
      </c>
      <c r="AZ38" s="12">
        <v>69</v>
      </c>
      <c r="BA38" s="12">
        <v>62</v>
      </c>
      <c r="BB38" s="12">
        <v>24</v>
      </c>
      <c r="BC38" s="12">
        <v>7</v>
      </c>
      <c r="BD38" s="12">
        <v>10</v>
      </c>
      <c r="BE38" s="12">
        <v>10</v>
      </c>
      <c r="BF38" s="12">
        <v>9</v>
      </c>
      <c r="BG38" s="12">
        <v>4</v>
      </c>
    </row>
    <row r="39" spans="1:59" x14ac:dyDescent="0.25">
      <c r="A39" t="s">
        <v>250</v>
      </c>
      <c r="B39" s="8" t="s">
        <v>17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8">
        <v>2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2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2</v>
      </c>
      <c r="BE39" s="12">
        <v>0</v>
      </c>
      <c r="BF39" s="12">
        <v>0</v>
      </c>
      <c r="BG39" s="12">
        <v>0</v>
      </c>
    </row>
    <row r="40" spans="1:59" x14ac:dyDescent="0.25">
      <c r="A40" t="s">
        <v>252</v>
      </c>
      <c r="B40" s="9" t="s">
        <v>102</v>
      </c>
      <c r="C40" s="12">
        <f>IF(C39=0,1,0)</f>
        <v>1</v>
      </c>
      <c r="D40" s="12">
        <f t="shared" ref="D40:AC40" si="14">IF(D39=0,1,0)</f>
        <v>1</v>
      </c>
      <c r="E40" s="12">
        <f t="shared" si="14"/>
        <v>1</v>
      </c>
      <c r="F40" s="12">
        <f t="shared" si="14"/>
        <v>1</v>
      </c>
      <c r="G40" s="12">
        <f t="shared" si="14"/>
        <v>1</v>
      </c>
      <c r="H40" s="12">
        <f t="shared" si="14"/>
        <v>1</v>
      </c>
      <c r="I40" s="12">
        <f t="shared" si="14"/>
        <v>1</v>
      </c>
      <c r="J40" s="12">
        <f t="shared" si="14"/>
        <v>1</v>
      </c>
      <c r="K40" s="12">
        <f t="shared" si="14"/>
        <v>1</v>
      </c>
      <c r="L40" s="12">
        <f t="shared" si="14"/>
        <v>1</v>
      </c>
      <c r="M40" s="12">
        <f t="shared" si="14"/>
        <v>1</v>
      </c>
      <c r="N40" s="12">
        <f t="shared" si="14"/>
        <v>1</v>
      </c>
      <c r="O40" s="12">
        <f t="shared" si="14"/>
        <v>1</v>
      </c>
      <c r="P40" s="12">
        <f t="shared" si="14"/>
        <v>0</v>
      </c>
      <c r="Q40" s="12">
        <f t="shared" si="14"/>
        <v>1</v>
      </c>
      <c r="R40" s="12">
        <f t="shared" si="14"/>
        <v>1</v>
      </c>
      <c r="S40" s="12">
        <f t="shared" si="14"/>
        <v>1</v>
      </c>
      <c r="T40" s="12">
        <f t="shared" si="14"/>
        <v>1</v>
      </c>
      <c r="U40" s="12">
        <f t="shared" si="14"/>
        <v>1</v>
      </c>
      <c r="V40" s="12">
        <f t="shared" si="14"/>
        <v>1</v>
      </c>
      <c r="W40" s="12">
        <f t="shared" si="14"/>
        <v>1</v>
      </c>
      <c r="X40" s="12">
        <f t="shared" si="14"/>
        <v>1</v>
      </c>
      <c r="Y40" s="12">
        <f t="shared" si="14"/>
        <v>1</v>
      </c>
      <c r="Z40" s="12">
        <f t="shared" si="14"/>
        <v>1</v>
      </c>
      <c r="AA40" s="12">
        <f t="shared" si="14"/>
        <v>1</v>
      </c>
      <c r="AB40" s="12">
        <f t="shared" si="14"/>
        <v>1</v>
      </c>
      <c r="AC40" s="12">
        <f t="shared" si="14"/>
        <v>0</v>
      </c>
      <c r="AD40" s="12">
        <f>IF(AD39=0,1,0)</f>
        <v>1</v>
      </c>
      <c r="AE40" s="12">
        <f t="shared" ref="AE40:BG40" si="15">IF(AE39=0,1,0)</f>
        <v>1</v>
      </c>
      <c r="AF40" s="12">
        <f t="shared" si="15"/>
        <v>1</v>
      </c>
      <c r="AG40" s="12">
        <f t="shared" si="15"/>
        <v>1</v>
      </c>
      <c r="AH40" s="12">
        <f t="shared" si="15"/>
        <v>1</v>
      </c>
      <c r="AI40" s="12">
        <f t="shared" si="15"/>
        <v>1</v>
      </c>
      <c r="AJ40" s="12">
        <f t="shared" si="15"/>
        <v>1</v>
      </c>
      <c r="AK40" s="12">
        <f t="shared" si="15"/>
        <v>1</v>
      </c>
      <c r="AL40" s="12">
        <f t="shared" si="15"/>
        <v>1</v>
      </c>
      <c r="AM40" s="12">
        <f t="shared" si="15"/>
        <v>1</v>
      </c>
      <c r="AN40" s="12">
        <f t="shared" si="15"/>
        <v>1</v>
      </c>
      <c r="AO40" s="12">
        <f t="shared" si="15"/>
        <v>1</v>
      </c>
      <c r="AP40" s="12">
        <f t="shared" si="15"/>
        <v>1</v>
      </c>
      <c r="AQ40" s="12">
        <f t="shared" si="15"/>
        <v>1</v>
      </c>
      <c r="AR40" s="12">
        <f t="shared" si="15"/>
        <v>1</v>
      </c>
      <c r="AS40" s="12">
        <f t="shared" si="15"/>
        <v>1</v>
      </c>
      <c r="AT40" s="12">
        <f t="shared" si="15"/>
        <v>1</v>
      </c>
      <c r="AU40" s="12">
        <f t="shared" si="15"/>
        <v>1</v>
      </c>
      <c r="AV40" s="12">
        <f t="shared" si="15"/>
        <v>1</v>
      </c>
      <c r="AW40" s="12">
        <f t="shared" si="15"/>
        <v>1</v>
      </c>
      <c r="AX40" s="12">
        <f t="shared" si="15"/>
        <v>1</v>
      </c>
      <c r="AY40" s="12">
        <f t="shared" si="15"/>
        <v>1</v>
      </c>
      <c r="AZ40" s="12">
        <f t="shared" si="15"/>
        <v>1</v>
      </c>
      <c r="BA40" s="12">
        <f t="shared" si="15"/>
        <v>1</v>
      </c>
      <c r="BB40" s="12">
        <f t="shared" si="15"/>
        <v>1</v>
      </c>
      <c r="BC40" s="12">
        <f t="shared" si="15"/>
        <v>1</v>
      </c>
      <c r="BD40" s="12">
        <f t="shared" si="15"/>
        <v>0</v>
      </c>
      <c r="BE40" s="12">
        <f t="shared" si="15"/>
        <v>1</v>
      </c>
      <c r="BF40" s="12">
        <f t="shared" si="15"/>
        <v>1</v>
      </c>
      <c r="BG40" s="12">
        <f t="shared" si="15"/>
        <v>1</v>
      </c>
    </row>
    <row r="41" spans="1:59" x14ac:dyDescent="0.25">
      <c r="A41" t="s">
        <v>253</v>
      </c>
      <c r="B41" s="9" t="s">
        <v>153</v>
      </c>
      <c r="C41" s="12">
        <v>12</v>
      </c>
      <c r="D41" s="12">
        <v>28</v>
      </c>
      <c r="E41" s="12">
        <v>13</v>
      </c>
      <c r="F41" s="12">
        <v>63</v>
      </c>
      <c r="G41" s="12">
        <v>33</v>
      </c>
      <c r="H41" s="12">
        <v>35</v>
      </c>
      <c r="I41" s="12">
        <v>26</v>
      </c>
      <c r="J41" s="12">
        <v>66</v>
      </c>
      <c r="K41" s="12">
        <v>33</v>
      </c>
      <c r="L41" s="12">
        <v>30</v>
      </c>
      <c r="M41" s="12">
        <v>13</v>
      </c>
      <c r="N41" s="12">
        <v>12</v>
      </c>
      <c r="O41" s="12">
        <v>8</v>
      </c>
      <c r="P41" s="12">
        <v>3</v>
      </c>
      <c r="Q41" s="12">
        <v>30</v>
      </c>
      <c r="R41" s="12">
        <v>30</v>
      </c>
      <c r="S41" s="12">
        <v>25</v>
      </c>
      <c r="T41" s="12">
        <v>20</v>
      </c>
      <c r="U41" s="12">
        <v>11</v>
      </c>
      <c r="V41" s="12">
        <v>18</v>
      </c>
      <c r="W41" s="12">
        <v>16</v>
      </c>
      <c r="X41" s="12">
        <v>25</v>
      </c>
      <c r="Y41" s="12">
        <v>18</v>
      </c>
      <c r="Z41" s="12">
        <v>9</v>
      </c>
      <c r="AA41" s="12">
        <v>10</v>
      </c>
      <c r="AB41" s="12">
        <v>20</v>
      </c>
      <c r="AC41" s="12">
        <v>19</v>
      </c>
      <c r="AD41" s="12">
        <v>164</v>
      </c>
      <c r="AE41" s="12">
        <v>8</v>
      </c>
      <c r="AF41" s="12">
        <v>6</v>
      </c>
      <c r="AG41" s="12">
        <v>13</v>
      </c>
      <c r="AH41" s="12">
        <v>26</v>
      </c>
      <c r="AI41" s="12">
        <v>27</v>
      </c>
      <c r="AJ41" s="12">
        <v>18</v>
      </c>
      <c r="AK41" s="12">
        <v>20</v>
      </c>
      <c r="AL41" s="12">
        <v>10</v>
      </c>
      <c r="AM41" s="12">
        <v>23</v>
      </c>
      <c r="AN41" s="12">
        <v>16</v>
      </c>
      <c r="AO41" s="12">
        <v>14</v>
      </c>
      <c r="AP41" s="12">
        <v>5</v>
      </c>
      <c r="AQ41" s="12">
        <v>14</v>
      </c>
      <c r="AR41" s="12">
        <v>25</v>
      </c>
      <c r="AS41" s="12">
        <v>8</v>
      </c>
      <c r="AT41" s="12">
        <v>28</v>
      </c>
      <c r="AU41" s="12">
        <v>15</v>
      </c>
      <c r="AV41" s="12">
        <v>13</v>
      </c>
      <c r="AW41" s="12">
        <v>16</v>
      </c>
      <c r="AX41" s="12">
        <v>13</v>
      </c>
      <c r="AY41" s="12">
        <v>13</v>
      </c>
      <c r="AZ41" s="12">
        <v>12</v>
      </c>
      <c r="BA41" s="12">
        <v>10</v>
      </c>
      <c r="BB41" s="12">
        <v>16</v>
      </c>
      <c r="BC41" s="12">
        <v>14</v>
      </c>
      <c r="BD41" s="12">
        <v>13</v>
      </c>
      <c r="BE41" s="12">
        <v>12</v>
      </c>
      <c r="BF41" s="12">
        <v>23</v>
      </c>
      <c r="BG41" s="12">
        <v>9</v>
      </c>
    </row>
    <row r="42" spans="1:59" x14ac:dyDescent="0.25">
      <c r="A42" t="s">
        <v>254</v>
      </c>
      <c r="B42" s="8" t="s">
        <v>110</v>
      </c>
      <c r="C42" s="12">
        <v>0</v>
      </c>
      <c r="D42" s="12">
        <v>3</v>
      </c>
      <c r="E42" s="12">
        <v>0</v>
      </c>
      <c r="F42" s="12">
        <v>1</v>
      </c>
      <c r="G42" s="12">
        <v>3</v>
      </c>
      <c r="H42" s="12">
        <v>3</v>
      </c>
      <c r="I42" s="12">
        <v>0</v>
      </c>
      <c r="J42" s="12">
        <v>1</v>
      </c>
      <c r="K42" s="12">
        <v>1</v>
      </c>
      <c r="L42" s="12">
        <v>0</v>
      </c>
      <c r="M42" s="12">
        <v>1</v>
      </c>
      <c r="N42" s="12">
        <v>0</v>
      </c>
      <c r="O42" s="12">
        <v>3</v>
      </c>
      <c r="P42" s="18">
        <v>0</v>
      </c>
      <c r="Q42" s="12">
        <v>0</v>
      </c>
      <c r="R42" s="12">
        <v>0</v>
      </c>
      <c r="S42" s="12">
        <v>3</v>
      </c>
      <c r="T42" s="12">
        <v>1</v>
      </c>
      <c r="U42" s="12">
        <v>1</v>
      </c>
      <c r="V42" s="12">
        <v>0</v>
      </c>
      <c r="W42" s="12">
        <v>3</v>
      </c>
      <c r="X42" s="12">
        <v>0</v>
      </c>
      <c r="Y42" s="12">
        <v>3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1</v>
      </c>
      <c r="AF42" s="12">
        <v>1</v>
      </c>
      <c r="AG42" s="12">
        <v>3</v>
      </c>
      <c r="AH42" s="12">
        <v>0</v>
      </c>
      <c r="AI42" s="12">
        <v>3</v>
      </c>
      <c r="AJ42" s="12">
        <v>0</v>
      </c>
      <c r="AK42" s="12">
        <v>3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3</v>
      </c>
      <c r="AS42" s="12">
        <v>1</v>
      </c>
      <c r="AT42" s="12">
        <v>0</v>
      </c>
      <c r="AU42" s="12">
        <v>0</v>
      </c>
      <c r="AV42" s="12">
        <v>3</v>
      </c>
      <c r="AW42" s="12">
        <v>3</v>
      </c>
      <c r="AX42" s="12">
        <v>0</v>
      </c>
      <c r="AY42" s="12">
        <v>0</v>
      </c>
      <c r="AZ42" s="12">
        <v>0</v>
      </c>
      <c r="BA42" s="12">
        <v>3</v>
      </c>
      <c r="BB42" s="12">
        <v>1</v>
      </c>
      <c r="BC42" s="12">
        <v>0</v>
      </c>
      <c r="BD42" s="12">
        <v>3</v>
      </c>
      <c r="BE42" s="12">
        <v>0</v>
      </c>
      <c r="BF42" s="12">
        <v>0</v>
      </c>
      <c r="BG42" s="12">
        <v>1</v>
      </c>
    </row>
    <row r="43" spans="1:59" x14ac:dyDescent="0.25">
      <c r="A43" t="s">
        <v>257</v>
      </c>
      <c r="B43" s="9" t="s">
        <v>103</v>
      </c>
      <c r="C43" s="12">
        <f>IF(C42=0,1,0)</f>
        <v>1</v>
      </c>
      <c r="D43" s="12">
        <f t="shared" ref="D43:AC43" si="16">IF(D42=0,1,0)</f>
        <v>0</v>
      </c>
      <c r="E43" s="12">
        <f t="shared" si="16"/>
        <v>1</v>
      </c>
      <c r="F43" s="12">
        <f t="shared" si="16"/>
        <v>0</v>
      </c>
      <c r="G43" s="12">
        <f t="shared" si="16"/>
        <v>0</v>
      </c>
      <c r="H43" s="12">
        <f t="shared" si="16"/>
        <v>0</v>
      </c>
      <c r="I43" s="12">
        <f t="shared" si="16"/>
        <v>1</v>
      </c>
      <c r="J43" s="12">
        <f t="shared" si="16"/>
        <v>0</v>
      </c>
      <c r="K43" s="12">
        <f t="shared" si="16"/>
        <v>0</v>
      </c>
      <c r="L43" s="12">
        <f t="shared" si="16"/>
        <v>1</v>
      </c>
      <c r="M43" s="12">
        <f t="shared" si="16"/>
        <v>0</v>
      </c>
      <c r="N43" s="12">
        <f t="shared" si="16"/>
        <v>1</v>
      </c>
      <c r="O43" s="12">
        <f t="shared" si="16"/>
        <v>0</v>
      </c>
      <c r="P43" s="12">
        <f t="shared" si="16"/>
        <v>1</v>
      </c>
      <c r="Q43" s="12">
        <f t="shared" si="16"/>
        <v>1</v>
      </c>
      <c r="R43" s="12">
        <f t="shared" si="16"/>
        <v>1</v>
      </c>
      <c r="S43" s="12">
        <f t="shared" si="16"/>
        <v>0</v>
      </c>
      <c r="T43" s="12">
        <f t="shared" si="16"/>
        <v>0</v>
      </c>
      <c r="U43" s="12">
        <f t="shared" si="16"/>
        <v>0</v>
      </c>
      <c r="V43" s="12">
        <f t="shared" si="16"/>
        <v>1</v>
      </c>
      <c r="W43" s="12">
        <f t="shared" si="16"/>
        <v>0</v>
      </c>
      <c r="X43" s="12">
        <f t="shared" si="16"/>
        <v>1</v>
      </c>
      <c r="Y43" s="12">
        <f t="shared" si="16"/>
        <v>0</v>
      </c>
      <c r="Z43" s="12">
        <f t="shared" si="16"/>
        <v>1</v>
      </c>
      <c r="AA43" s="12">
        <f t="shared" si="16"/>
        <v>1</v>
      </c>
      <c r="AB43" s="12">
        <f t="shared" si="16"/>
        <v>1</v>
      </c>
      <c r="AC43" s="12">
        <f t="shared" si="16"/>
        <v>1</v>
      </c>
      <c r="AD43" s="12">
        <f>IF(AD42=0,1,0)</f>
        <v>1</v>
      </c>
      <c r="AE43" s="12">
        <f t="shared" ref="AE43:BG43" si="17">IF(AE42=0,1,0)</f>
        <v>0</v>
      </c>
      <c r="AF43" s="12">
        <f t="shared" si="17"/>
        <v>0</v>
      </c>
      <c r="AG43" s="12">
        <f t="shared" si="17"/>
        <v>0</v>
      </c>
      <c r="AH43" s="12">
        <f t="shared" si="17"/>
        <v>1</v>
      </c>
      <c r="AI43" s="12">
        <f t="shared" si="17"/>
        <v>0</v>
      </c>
      <c r="AJ43" s="12">
        <f t="shared" si="17"/>
        <v>1</v>
      </c>
      <c r="AK43" s="12">
        <f t="shared" si="17"/>
        <v>0</v>
      </c>
      <c r="AL43" s="12">
        <f t="shared" si="17"/>
        <v>1</v>
      </c>
      <c r="AM43" s="12">
        <f t="shared" si="17"/>
        <v>1</v>
      </c>
      <c r="AN43" s="12">
        <f t="shared" si="17"/>
        <v>1</v>
      </c>
      <c r="AO43" s="12">
        <f t="shared" si="17"/>
        <v>1</v>
      </c>
      <c r="AP43" s="12">
        <f t="shared" si="17"/>
        <v>1</v>
      </c>
      <c r="AQ43" s="12">
        <f t="shared" si="17"/>
        <v>1</v>
      </c>
      <c r="AR43" s="12">
        <f t="shared" si="17"/>
        <v>0</v>
      </c>
      <c r="AS43" s="12">
        <f t="shared" si="17"/>
        <v>0</v>
      </c>
      <c r="AT43" s="12">
        <f t="shared" si="17"/>
        <v>1</v>
      </c>
      <c r="AU43" s="12">
        <f t="shared" si="17"/>
        <v>1</v>
      </c>
      <c r="AV43" s="12">
        <f t="shared" si="17"/>
        <v>0</v>
      </c>
      <c r="AW43" s="12">
        <f t="shared" si="17"/>
        <v>0</v>
      </c>
      <c r="AX43" s="12">
        <f t="shared" si="17"/>
        <v>1</v>
      </c>
      <c r="AY43" s="12">
        <f t="shared" si="17"/>
        <v>1</v>
      </c>
      <c r="AZ43" s="12">
        <f t="shared" si="17"/>
        <v>1</v>
      </c>
      <c r="BA43" s="12">
        <f t="shared" si="17"/>
        <v>0</v>
      </c>
      <c r="BB43" s="12">
        <f t="shared" si="17"/>
        <v>0</v>
      </c>
      <c r="BC43" s="12">
        <f t="shared" si="17"/>
        <v>1</v>
      </c>
      <c r="BD43" s="12">
        <f t="shared" si="17"/>
        <v>0</v>
      </c>
      <c r="BE43" s="12">
        <f t="shared" si="17"/>
        <v>1</v>
      </c>
      <c r="BF43" s="12">
        <f t="shared" si="17"/>
        <v>1</v>
      </c>
      <c r="BG43" s="12">
        <f t="shared" si="17"/>
        <v>0</v>
      </c>
    </row>
    <row r="44" spans="1:59" x14ac:dyDescent="0.25">
      <c r="A44" t="s">
        <v>258</v>
      </c>
      <c r="B44" s="9" t="s">
        <v>152</v>
      </c>
      <c r="C44" s="12">
        <v>19</v>
      </c>
      <c r="D44" s="12">
        <v>16</v>
      </c>
      <c r="E44" s="12">
        <v>11</v>
      </c>
      <c r="F44" s="12">
        <v>34</v>
      </c>
      <c r="G44" s="12">
        <v>37</v>
      </c>
      <c r="H44" s="12">
        <v>35</v>
      </c>
      <c r="I44" s="12">
        <v>32</v>
      </c>
      <c r="J44" s="12">
        <v>48</v>
      </c>
      <c r="K44" s="12">
        <v>26</v>
      </c>
      <c r="L44" s="12">
        <v>78</v>
      </c>
      <c r="M44" s="12">
        <v>10</v>
      </c>
      <c r="N44" s="12">
        <v>13</v>
      </c>
      <c r="O44" s="12">
        <v>12</v>
      </c>
      <c r="P44" s="12">
        <v>2</v>
      </c>
      <c r="Q44" s="12">
        <v>13</v>
      </c>
      <c r="R44" s="12">
        <v>15</v>
      </c>
      <c r="S44" s="12">
        <v>36</v>
      </c>
      <c r="T44" s="12">
        <v>21</v>
      </c>
      <c r="U44" s="12">
        <v>24</v>
      </c>
      <c r="V44" s="12">
        <v>34</v>
      </c>
      <c r="W44" s="12">
        <v>33</v>
      </c>
      <c r="X44" s="12">
        <v>172</v>
      </c>
      <c r="Y44" s="12">
        <v>9</v>
      </c>
      <c r="Z44" s="12">
        <v>14</v>
      </c>
      <c r="AA44" s="12">
        <v>37</v>
      </c>
      <c r="AB44" s="12">
        <v>29</v>
      </c>
      <c r="AC44" s="12">
        <v>22</v>
      </c>
      <c r="AD44" s="12">
        <v>16</v>
      </c>
      <c r="AE44" s="12">
        <v>12</v>
      </c>
      <c r="AF44" s="12">
        <v>8</v>
      </c>
      <c r="AG44" s="12">
        <v>16</v>
      </c>
      <c r="AH44" s="12">
        <v>25</v>
      </c>
      <c r="AI44" s="12">
        <v>59</v>
      </c>
      <c r="AJ44" s="12">
        <v>27</v>
      </c>
      <c r="AK44" s="12">
        <v>34</v>
      </c>
      <c r="AL44" s="12">
        <v>15</v>
      </c>
      <c r="AM44" s="12">
        <v>20</v>
      </c>
      <c r="AN44" s="12">
        <v>27</v>
      </c>
      <c r="AO44" s="12">
        <v>27</v>
      </c>
      <c r="AP44" s="12">
        <v>3</v>
      </c>
      <c r="AQ44" s="12">
        <v>13</v>
      </c>
      <c r="AR44" s="12">
        <v>20</v>
      </c>
      <c r="AS44" s="12">
        <v>9</v>
      </c>
      <c r="AT44" s="12">
        <v>25</v>
      </c>
      <c r="AU44" s="12">
        <v>16</v>
      </c>
      <c r="AV44" s="12">
        <v>14</v>
      </c>
      <c r="AW44" s="12">
        <v>19</v>
      </c>
      <c r="AX44" s="12">
        <v>15</v>
      </c>
      <c r="AY44" s="12">
        <v>27</v>
      </c>
      <c r="AZ44" s="12">
        <v>13</v>
      </c>
      <c r="BA44" s="12">
        <v>27</v>
      </c>
      <c r="BB44" s="12">
        <v>51</v>
      </c>
      <c r="BC44" s="12">
        <v>6</v>
      </c>
      <c r="BD44" s="12">
        <v>26</v>
      </c>
      <c r="BE44" s="12">
        <v>16</v>
      </c>
      <c r="BF44" s="12">
        <v>41</v>
      </c>
      <c r="BG44" s="12">
        <v>16</v>
      </c>
    </row>
    <row r="45" spans="1:59" x14ac:dyDescent="0.25">
      <c r="A45" t="s">
        <v>259</v>
      </c>
      <c r="B45" s="8" t="s">
        <v>111</v>
      </c>
      <c r="C45" s="12">
        <v>0</v>
      </c>
      <c r="D45" s="12">
        <v>0</v>
      </c>
      <c r="E45" s="12">
        <v>0</v>
      </c>
      <c r="F45" s="12">
        <v>2</v>
      </c>
      <c r="G45" s="12">
        <v>2</v>
      </c>
      <c r="H45" s="12">
        <v>2</v>
      </c>
      <c r="I45" s="12">
        <v>0</v>
      </c>
      <c r="J45" s="12">
        <v>0</v>
      </c>
      <c r="K45" s="12">
        <v>2</v>
      </c>
      <c r="L45" s="12">
        <v>0</v>
      </c>
      <c r="M45" s="12">
        <v>2</v>
      </c>
      <c r="N45" s="12">
        <v>0</v>
      </c>
      <c r="O45" s="12">
        <v>0</v>
      </c>
      <c r="P45" s="18">
        <v>0</v>
      </c>
      <c r="Q45" s="12">
        <v>0</v>
      </c>
      <c r="R45" s="12">
        <v>1</v>
      </c>
      <c r="S45" s="12">
        <v>0</v>
      </c>
      <c r="T45" s="12">
        <v>0</v>
      </c>
      <c r="U45" s="12">
        <v>0</v>
      </c>
      <c r="V45" s="12">
        <v>2</v>
      </c>
      <c r="W45" s="12">
        <v>0</v>
      </c>
      <c r="X45" s="12">
        <v>0</v>
      </c>
      <c r="Y45" s="12">
        <v>2</v>
      </c>
      <c r="Z45" s="12">
        <v>0</v>
      </c>
      <c r="AA45" s="12">
        <v>2</v>
      </c>
      <c r="AB45" s="12">
        <v>2</v>
      </c>
      <c r="AC45" s="12">
        <v>2</v>
      </c>
      <c r="AD45" s="12">
        <v>1</v>
      </c>
      <c r="AE45" s="12">
        <v>2</v>
      </c>
      <c r="AF45" s="12">
        <v>2</v>
      </c>
      <c r="AG45" s="12">
        <v>0</v>
      </c>
      <c r="AH45" s="12">
        <v>0</v>
      </c>
      <c r="AI45" s="12">
        <v>0</v>
      </c>
      <c r="AJ45" s="12">
        <v>2</v>
      </c>
      <c r="AK45" s="12">
        <v>2</v>
      </c>
      <c r="AL45" s="12">
        <v>0</v>
      </c>
      <c r="AM45" s="12">
        <v>0</v>
      </c>
      <c r="AN45" s="12">
        <v>0</v>
      </c>
      <c r="AO45" s="12">
        <v>2</v>
      </c>
      <c r="AP45" s="12">
        <v>0</v>
      </c>
      <c r="AQ45" s="12">
        <v>2</v>
      </c>
      <c r="AR45" s="12">
        <v>0</v>
      </c>
      <c r="AS45" s="12">
        <v>2</v>
      </c>
      <c r="AT45" s="12">
        <v>2</v>
      </c>
      <c r="AU45" s="12">
        <v>0</v>
      </c>
      <c r="AV45" s="12">
        <v>0</v>
      </c>
      <c r="AW45" s="12">
        <v>0</v>
      </c>
      <c r="AX45" s="12">
        <v>2</v>
      </c>
      <c r="AY45" s="12">
        <v>2</v>
      </c>
      <c r="AZ45" s="12">
        <v>1</v>
      </c>
      <c r="BA45" s="12">
        <v>2</v>
      </c>
      <c r="BB45" s="12">
        <v>0</v>
      </c>
      <c r="BC45" s="12">
        <v>1</v>
      </c>
      <c r="BD45" s="12">
        <v>2</v>
      </c>
      <c r="BE45" s="12">
        <v>0</v>
      </c>
      <c r="BF45" s="12">
        <v>2</v>
      </c>
      <c r="BG45" s="12">
        <v>0</v>
      </c>
    </row>
    <row r="46" spans="1:59" x14ac:dyDescent="0.25">
      <c r="A46" t="s">
        <v>262</v>
      </c>
      <c r="B46" s="9" t="s">
        <v>104</v>
      </c>
      <c r="C46" s="12">
        <f>IF(C45=0,1,0)</f>
        <v>1</v>
      </c>
      <c r="D46" s="12">
        <f t="shared" ref="D46:AC46" si="18">IF(D45=0,1,0)</f>
        <v>1</v>
      </c>
      <c r="E46" s="12">
        <f t="shared" si="18"/>
        <v>1</v>
      </c>
      <c r="F46" s="12">
        <f t="shared" si="18"/>
        <v>0</v>
      </c>
      <c r="G46" s="12">
        <f t="shared" si="18"/>
        <v>0</v>
      </c>
      <c r="H46" s="12">
        <f t="shared" si="18"/>
        <v>0</v>
      </c>
      <c r="I46" s="12">
        <f t="shared" si="18"/>
        <v>1</v>
      </c>
      <c r="J46" s="12">
        <f t="shared" si="18"/>
        <v>1</v>
      </c>
      <c r="K46" s="12">
        <f t="shared" si="18"/>
        <v>0</v>
      </c>
      <c r="L46" s="12">
        <f t="shared" si="18"/>
        <v>1</v>
      </c>
      <c r="M46" s="12">
        <f t="shared" si="18"/>
        <v>0</v>
      </c>
      <c r="N46" s="12">
        <f t="shared" si="18"/>
        <v>1</v>
      </c>
      <c r="O46" s="12">
        <f t="shared" si="18"/>
        <v>1</v>
      </c>
      <c r="P46" s="12">
        <f t="shared" si="18"/>
        <v>1</v>
      </c>
      <c r="Q46" s="12">
        <f t="shared" si="18"/>
        <v>1</v>
      </c>
      <c r="R46" s="12">
        <f t="shared" si="18"/>
        <v>0</v>
      </c>
      <c r="S46" s="12">
        <f t="shared" si="18"/>
        <v>1</v>
      </c>
      <c r="T46" s="12">
        <f t="shared" si="18"/>
        <v>1</v>
      </c>
      <c r="U46" s="12">
        <f t="shared" si="18"/>
        <v>1</v>
      </c>
      <c r="V46" s="12">
        <f t="shared" si="18"/>
        <v>0</v>
      </c>
      <c r="W46" s="12">
        <f t="shared" si="18"/>
        <v>1</v>
      </c>
      <c r="X46" s="12">
        <f t="shared" si="18"/>
        <v>1</v>
      </c>
      <c r="Y46" s="12">
        <f t="shared" si="18"/>
        <v>0</v>
      </c>
      <c r="Z46" s="12">
        <f t="shared" si="18"/>
        <v>1</v>
      </c>
      <c r="AA46" s="12">
        <f t="shared" si="18"/>
        <v>0</v>
      </c>
      <c r="AB46" s="12">
        <f t="shared" si="18"/>
        <v>0</v>
      </c>
      <c r="AC46" s="12">
        <f t="shared" si="18"/>
        <v>0</v>
      </c>
      <c r="AD46" s="12">
        <f>IF(AD45=0,1,0)</f>
        <v>0</v>
      </c>
      <c r="AE46" s="12">
        <f t="shared" ref="AE46:BG46" si="19">IF(AE45=0,1,0)</f>
        <v>0</v>
      </c>
      <c r="AF46" s="12">
        <f t="shared" si="19"/>
        <v>0</v>
      </c>
      <c r="AG46" s="12">
        <f t="shared" si="19"/>
        <v>1</v>
      </c>
      <c r="AH46" s="12">
        <f t="shared" si="19"/>
        <v>1</v>
      </c>
      <c r="AI46" s="12">
        <f t="shared" si="19"/>
        <v>1</v>
      </c>
      <c r="AJ46" s="12">
        <f t="shared" si="19"/>
        <v>0</v>
      </c>
      <c r="AK46" s="12">
        <f t="shared" si="19"/>
        <v>0</v>
      </c>
      <c r="AL46" s="12">
        <f t="shared" si="19"/>
        <v>1</v>
      </c>
      <c r="AM46" s="12">
        <f t="shared" si="19"/>
        <v>1</v>
      </c>
      <c r="AN46" s="12">
        <f t="shared" si="19"/>
        <v>1</v>
      </c>
      <c r="AO46" s="12">
        <f t="shared" si="19"/>
        <v>0</v>
      </c>
      <c r="AP46" s="12">
        <f t="shared" si="19"/>
        <v>1</v>
      </c>
      <c r="AQ46" s="12">
        <f t="shared" si="19"/>
        <v>0</v>
      </c>
      <c r="AR46" s="12">
        <f t="shared" si="19"/>
        <v>1</v>
      </c>
      <c r="AS46" s="12">
        <f t="shared" si="19"/>
        <v>0</v>
      </c>
      <c r="AT46" s="12">
        <f t="shared" si="19"/>
        <v>0</v>
      </c>
      <c r="AU46" s="12">
        <f t="shared" si="19"/>
        <v>1</v>
      </c>
      <c r="AV46" s="12">
        <f t="shared" si="19"/>
        <v>1</v>
      </c>
      <c r="AW46" s="12">
        <f t="shared" si="19"/>
        <v>1</v>
      </c>
      <c r="AX46" s="12">
        <f t="shared" si="19"/>
        <v>0</v>
      </c>
      <c r="AY46" s="12">
        <f t="shared" si="19"/>
        <v>0</v>
      </c>
      <c r="AZ46" s="12">
        <f t="shared" si="19"/>
        <v>0</v>
      </c>
      <c r="BA46" s="12">
        <f t="shared" si="19"/>
        <v>0</v>
      </c>
      <c r="BB46" s="12">
        <f t="shared" si="19"/>
        <v>1</v>
      </c>
      <c r="BC46" s="12">
        <f t="shared" si="19"/>
        <v>0</v>
      </c>
      <c r="BD46" s="12">
        <f t="shared" si="19"/>
        <v>0</v>
      </c>
      <c r="BE46" s="12">
        <f t="shared" si="19"/>
        <v>1</v>
      </c>
      <c r="BF46" s="12">
        <f t="shared" si="19"/>
        <v>0</v>
      </c>
      <c r="BG46" s="12">
        <f t="shared" si="19"/>
        <v>1</v>
      </c>
    </row>
    <row r="47" spans="1:59" x14ac:dyDescent="0.25">
      <c r="A47" t="s">
        <v>263</v>
      </c>
      <c r="B47" s="9" t="s">
        <v>151</v>
      </c>
      <c r="C47" s="12">
        <v>22</v>
      </c>
      <c r="D47" s="12">
        <v>21</v>
      </c>
      <c r="E47" s="12">
        <v>13</v>
      </c>
      <c r="F47" s="12">
        <v>30</v>
      </c>
      <c r="G47" s="12">
        <v>63</v>
      </c>
      <c r="H47" s="12">
        <v>13</v>
      </c>
      <c r="I47" s="12">
        <v>110</v>
      </c>
      <c r="J47" s="12">
        <v>46</v>
      </c>
      <c r="K47" s="12">
        <v>23</v>
      </c>
      <c r="L47" s="12">
        <v>30</v>
      </c>
      <c r="M47" s="12">
        <v>10</v>
      </c>
      <c r="N47" s="12">
        <v>17</v>
      </c>
      <c r="O47" s="12">
        <v>29</v>
      </c>
      <c r="P47" s="12">
        <v>1</v>
      </c>
      <c r="Q47" s="12">
        <v>16</v>
      </c>
      <c r="R47" s="12">
        <v>18</v>
      </c>
      <c r="S47" s="12">
        <v>24</v>
      </c>
      <c r="T47" s="12">
        <v>40</v>
      </c>
      <c r="U47" s="12">
        <v>19</v>
      </c>
      <c r="V47" s="12">
        <v>20</v>
      </c>
      <c r="W47" s="12">
        <v>22</v>
      </c>
      <c r="X47" s="12">
        <v>84</v>
      </c>
      <c r="Y47" s="12">
        <v>10</v>
      </c>
      <c r="Z47" s="12">
        <v>24</v>
      </c>
      <c r="AA47" s="12">
        <v>25</v>
      </c>
      <c r="AB47" s="12">
        <v>60</v>
      </c>
      <c r="AC47" s="12">
        <v>20</v>
      </c>
      <c r="AD47" s="12">
        <v>13</v>
      </c>
      <c r="AE47" s="12">
        <v>3</v>
      </c>
      <c r="AF47" s="12">
        <v>4</v>
      </c>
      <c r="AG47" s="12">
        <v>43</v>
      </c>
      <c r="AH47" s="12">
        <v>19</v>
      </c>
      <c r="AI47" s="12">
        <v>44</v>
      </c>
      <c r="AJ47" s="12">
        <v>17</v>
      </c>
      <c r="AK47" s="12">
        <v>12</v>
      </c>
      <c r="AL47" s="12">
        <v>12</v>
      </c>
      <c r="AM47" s="12">
        <v>19</v>
      </c>
      <c r="AN47" s="12">
        <v>25</v>
      </c>
      <c r="AO47" s="12">
        <v>21</v>
      </c>
      <c r="AP47" s="12">
        <v>8</v>
      </c>
      <c r="AQ47" s="12">
        <v>13</v>
      </c>
      <c r="AR47" s="12">
        <v>28</v>
      </c>
      <c r="AS47" s="12">
        <v>8</v>
      </c>
      <c r="AT47" s="12">
        <v>14</v>
      </c>
      <c r="AU47" s="12">
        <v>27</v>
      </c>
      <c r="AV47" s="12">
        <v>10</v>
      </c>
      <c r="AW47" s="12">
        <v>15</v>
      </c>
      <c r="AX47" s="12">
        <v>14</v>
      </c>
      <c r="AY47" s="12">
        <v>22</v>
      </c>
      <c r="AZ47" s="12">
        <v>26</v>
      </c>
      <c r="BA47" s="12">
        <v>23</v>
      </c>
      <c r="BB47" s="12">
        <v>62</v>
      </c>
      <c r="BC47" s="12">
        <v>68</v>
      </c>
      <c r="BD47" s="12">
        <v>47</v>
      </c>
      <c r="BE47" s="12">
        <v>11</v>
      </c>
      <c r="BF47" s="12">
        <v>37</v>
      </c>
      <c r="BG47" s="12">
        <v>16</v>
      </c>
    </row>
    <row r="48" spans="1:59" x14ac:dyDescent="0.25">
      <c r="A48" t="s">
        <v>264</v>
      </c>
      <c r="B48" s="8" t="s">
        <v>18</v>
      </c>
      <c r="C48" s="12">
        <v>2</v>
      </c>
      <c r="D48" s="12">
        <v>2</v>
      </c>
      <c r="E48" s="12">
        <v>2</v>
      </c>
      <c r="F48" s="12">
        <v>2</v>
      </c>
      <c r="G48" s="12">
        <v>2</v>
      </c>
      <c r="H48" s="12">
        <v>2</v>
      </c>
      <c r="I48" s="12">
        <v>2</v>
      </c>
      <c r="J48" s="12">
        <v>1</v>
      </c>
      <c r="K48" s="12">
        <v>2</v>
      </c>
      <c r="L48" s="12">
        <v>1</v>
      </c>
      <c r="M48" s="12">
        <v>2</v>
      </c>
      <c r="N48" s="12">
        <v>2</v>
      </c>
      <c r="O48" s="12">
        <v>2</v>
      </c>
      <c r="P48" s="18">
        <v>0</v>
      </c>
      <c r="Q48" s="12">
        <v>0</v>
      </c>
      <c r="R48" s="12">
        <v>2</v>
      </c>
      <c r="S48" s="12">
        <v>3</v>
      </c>
      <c r="T48" s="12">
        <v>2</v>
      </c>
      <c r="U48" s="12">
        <v>2</v>
      </c>
      <c r="V48" s="12">
        <v>3</v>
      </c>
      <c r="W48" s="12">
        <v>2</v>
      </c>
      <c r="X48" s="12">
        <v>2</v>
      </c>
      <c r="Y48" s="12">
        <v>3</v>
      </c>
      <c r="Z48" s="12">
        <v>2</v>
      </c>
      <c r="AA48" s="12">
        <v>0</v>
      </c>
      <c r="AB48" s="12">
        <v>0</v>
      </c>
      <c r="AC48" s="12">
        <v>1</v>
      </c>
      <c r="AD48" s="12">
        <v>2</v>
      </c>
      <c r="AE48" s="12">
        <v>1</v>
      </c>
      <c r="AF48" s="12">
        <v>0</v>
      </c>
      <c r="AG48" s="12">
        <v>3</v>
      </c>
      <c r="AH48" s="12">
        <v>1</v>
      </c>
      <c r="AI48" s="12">
        <v>3</v>
      </c>
      <c r="AJ48" s="12">
        <v>3</v>
      </c>
      <c r="AK48" s="12">
        <v>0</v>
      </c>
      <c r="AL48" s="12">
        <v>1</v>
      </c>
      <c r="AM48" s="12">
        <v>2</v>
      </c>
      <c r="AN48" s="12">
        <v>2</v>
      </c>
      <c r="AO48" s="12">
        <v>2</v>
      </c>
      <c r="AP48" s="12">
        <v>2</v>
      </c>
      <c r="AQ48" s="12">
        <v>1</v>
      </c>
      <c r="AR48" s="12">
        <v>2</v>
      </c>
      <c r="AS48" s="12">
        <v>2</v>
      </c>
      <c r="AT48" s="12">
        <v>1</v>
      </c>
      <c r="AU48" s="12">
        <v>2</v>
      </c>
      <c r="AV48" s="12">
        <v>0</v>
      </c>
      <c r="AW48" s="12">
        <v>1</v>
      </c>
      <c r="AX48" s="12">
        <v>1</v>
      </c>
      <c r="AY48" s="12">
        <v>2</v>
      </c>
      <c r="AZ48" s="12">
        <v>2</v>
      </c>
      <c r="BA48" s="12">
        <v>1</v>
      </c>
      <c r="BB48" s="12">
        <v>2</v>
      </c>
      <c r="BC48" s="12">
        <v>3</v>
      </c>
      <c r="BD48" s="12">
        <v>2</v>
      </c>
      <c r="BE48" s="12">
        <v>2</v>
      </c>
      <c r="BF48" s="12">
        <v>2</v>
      </c>
      <c r="BG48" s="12">
        <v>0</v>
      </c>
    </row>
    <row r="49" spans="1:59" x14ac:dyDescent="0.25">
      <c r="A49" t="s">
        <v>268</v>
      </c>
      <c r="B49" s="9" t="s">
        <v>106</v>
      </c>
      <c r="C49" s="12">
        <f>IF(C48=2,1,0)</f>
        <v>1</v>
      </c>
      <c r="D49" s="12">
        <f t="shared" ref="D49:AC49" si="20">IF(D48=2,1,0)</f>
        <v>1</v>
      </c>
      <c r="E49" s="12">
        <f t="shared" si="20"/>
        <v>1</v>
      </c>
      <c r="F49" s="12">
        <f t="shared" si="20"/>
        <v>1</v>
      </c>
      <c r="G49" s="12">
        <f t="shared" si="20"/>
        <v>1</v>
      </c>
      <c r="H49" s="12">
        <f t="shared" si="20"/>
        <v>1</v>
      </c>
      <c r="I49" s="12">
        <f t="shared" si="20"/>
        <v>1</v>
      </c>
      <c r="J49" s="12">
        <f t="shared" si="20"/>
        <v>0</v>
      </c>
      <c r="K49" s="12">
        <f t="shared" si="20"/>
        <v>1</v>
      </c>
      <c r="L49" s="12">
        <f t="shared" si="20"/>
        <v>0</v>
      </c>
      <c r="M49" s="12">
        <f t="shared" si="20"/>
        <v>1</v>
      </c>
      <c r="N49" s="12">
        <f t="shared" si="20"/>
        <v>1</v>
      </c>
      <c r="O49" s="12">
        <f t="shared" si="20"/>
        <v>1</v>
      </c>
      <c r="P49" s="12">
        <f t="shared" si="20"/>
        <v>0</v>
      </c>
      <c r="Q49" s="12">
        <f t="shared" si="20"/>
        <v>0</v>
      </c>
      <c r="R49" s="12">
        <f t="shared" si="20"/>
        <v>1</v>
      </c>
      <c r="S49" s="12">
        <f t="shared" si="20"/>
        <v>0</v>
      </c>
      <c r="T49" s="12">
        <f t="shared" si="20"/>
        <v>1</v>
      </c>
      <c r="U49" s="12">
        <f t="shared" si="20"/>
        <v>1</v>
      </c>
      <c r="V49" s="12">
        <f t="shared" si="20"/>
        <v>0</v>
      </c>
      <c r="W49" s="12">
        <f t="shared" si="20"/>
        <v>1</v>
      </c>
      <c r="X49" s="12">
        <f t="shared" si="20"/>
        <v>1</v>
      </c>
      <c r="Y49" s="12">
        <f t="shared" si="20"/>
        <v>0</v>
      </c>
      <c r="Z49" s="12">
        <f t="shared" si="20"/>
        <v>1</v>
      </c>
      <c r="AA49" s="12">
        <f t="shared" si="20"/>
        <v>0</v>
      </c>
      <c r="AB49" s="12">
        <f t="shared" si="20"/>
        <v>0</v>
      </c>
      <c r="AC49" s="12">
        <f t="shared" si="20"/>
        <v>0</v>
      </c>
      <c r="AD49" s="12">
        <f>IF(AD48=2,1,0)</f>
        <v>1</v>
      </c>
      <c r="AE49" s="12">
        <f t="shared" ref="AE49:BG49" si="21">IF(AE48=2,1,0)</f>
        <v>0</v>
      </c>
      <c r="AF49" s="12">
        <f t="shared" si="21"/>
        <v>0</v>
      </c>
      <c r="AG49" s="12">
        <f t="shared" si="21"/>
        <v>0</v>
      </c>
      <c r="AH49" s="12">
        <f t="shared" si="21"/>
        <v>0</v>
      </c>
      <c r="AI49" s="12">
        <f t="shared" si="21"/>
        <v>0</v>
      </c>
      <c r="AJ49" s="12">
        <f t="shared" si="21"/>
        <v>0</v>
      </c>
      <c r="AK49" s="12">
        <f t="shared" si="21"/>
        <v>0</v>
      </c>
      <c r="AL49" s="12">
        <f t="shared" si="21"/>
        <v>0</v>
      </c>
      <c r="AM49" s="12">
        <f t="shared" si="21"/>
        <v>1</v>
      </c>
      <c r="AN49" s="12">
        <f t="shared" si="21"/>
        <v>1</v>
      </c>
      <c r="AO49" s="12">
        <f t="shared" si="21"/>
        <v>1</v>
      </c>
      <c r="AP49" s="12">
        <f t="shared" si="21"/>
        <v>1</v>
      </c>
      <c r="AQ49" s="12">
        <f t="shared" si="21"/>
        <v>0</v>
      </c>
      <c r="AR49" s="12">
        <f t="shared" si="21"/>
        <v>1</v>
      </c>
      <c r="AS49" s="12">
        <f t="shared" si="21"/>
        <v>1</v>
      </c>
      <c r="AT49" s="12">
        <f t="shared" si="21"/>
        <v>0</v>
      </c>
      <c r="AU49" s="12">
        <f t="shared" si="21"/>
        <v>1</v>
      </c>
      <c r="AV49" s="12">
        <f t="shared" si="21"/>
        <v>0</v>
      </c>
      <c r="AW49" s="12">
        <f t="shared" si="21"/>
        <v>0</v>
      </c>
      <c r="AX49" s="12">
        <f t="shared" si="21"/>
        <v>0</v>
      </c>
      <c r="AY49" s="12">
        <f t="shared" si="21"/>
        <v>1</v>
      </c>
      <c r="AZ49" s="12">
        <f t="shared" si="21"/>
        <v>1</v>
      </c>
      <c r="BA49" s="12">
        <f t="shared" si="21"/>
        <v>0</v>
      </c>
      <c r="BB49" s="12">
        <f t="shared" si="21"/>
        <v>1</v>
      </c>
      <c r="BC49" s="12">
        <f t="shared" si="21"/>
        <v>0</v>
      </c>
      <c r="BD49" s="12">
        <f t="shared" si="21"/>
        <v>1</v>
      </c>
      <c r="BE49" s="12">
        <f t="shared" si="21"/>
        <v>1</v>
      </c>
      <c r="BF49" s="12">
        <f t="shared" si="21"/>
        <v>1</v>
      </c>
      <c r="BG49" s="12">
        <f t="shared" si="21"/>
        <v>0</v>
      </c>
    </row>
    <row r="50" spans="1:59" x14ac:dyDescent="0.25">
      <c r="A50" t="s">
        <v>269</v>
      </c>
      <c r="B50" s="9" t="s">
        <v>155</v>
      </c>
      <c r="C50" s="12">
        <v>13</v>
      </c>
      <c r="D50" s="12">
        <v>21</v>
      </c>
      <c r="E50" s="12">
        <v>9</v>
      </c>
      <c r="F50" s="12">
        <v>44</v>
      </c>
      <c r="G50" s="12">
        <v>30</v>
      </c>
      <c r="H50" s="12">
        <v>52</v>
      </c>
      <c r="I50" s="12">
        <v>37</v>
      </c>
      <c r="J50" s="12">
        <v>18</v>
      </c>
      <c r="K50" s="12">
        <v>72</v>
      </c>
      <c r="L50" s="12">
        <v>67</v>
      </c>
      <c r="M50" s="12">
        <v>22</v>
      </c>
      <c r="N50" s="12">
        <v>6</v>
      </c>
      <c r="O50" s="12">
        <v>11</v>
      </c>
      <c r="P50" s="12">
        <v>1</v>
      </c>
      <c r="Q50" s="12">
        <v>26</v>
      </c>
      <c r="R50" s="12">
        <v>30</v>
      </c>
      <c r="S50" s="12">
        <v>20</v>
      </c>
      <c r="T50" s="12">
        <v>30</v>
      </c>
      <c r="U50" s="12">
        <v>18</v>
      </c>
      <c r="V50" s="12">
        <v>56</v>
      </c>
      <c r="W50" s="12">
        <v>13</v>
      </c>
      <c r="X50" s="12">
        <v>78</v>
      </c>
      <c r="Y50" s="12">
        <v>11</v>
      </c>
      <c r="Z50" s="12">
        <v>8</v>
      </c>
      <c r="AA50" s="12">
        <v>37</v>
      </c>
      <c r="AB50" s="12">
        <v>34</v>
      </c>
      <c r="AC50" s="12">
        <v>23</v>
      </c>
      <c r="AD50" s="12">
        <v>17</v>
      </c>
      <c r="AE50" s="12">
        <v>2</v>
      </c>
      <c r="AF50" s="12">
        <v>7</v>
      </c>
      <c r="AG50" s="12">
        <v>26</v>
      </c>
      <c r="AH50" s="12">
        <v>46</v>
      </c>
      <c r="AI50" s="12">
        <v>71</v>
      </c>
      <c r="AJ50" s="12">
        <v>21</v>
      </c>
      <c r="AK50" s="12">
        <v>15</v>
      </c>
      <c r="AL50" s="12">
        <v>14</v>
      </c>
      <c r="AM50" s="12">
        <v>12</v>
      </c>
      <c r="AN50" s="12">
        <v>19</v>
      </c>
      <c r="AO50" s="12">
        <v>22</v>
      </c>
      <c r="AP50" s="12">
        <v>3</v>
      </c>
      <c r="AQ50" s="12">
        <v>11</v>
      </c>
      <c r="AR50" s="12">
        <v>28</v>
      </c>
      <c r="AS50" s="12">
        <v>50</v>
      </c>
      <c r="AT50" s="12">
        <v>25</v>
      </c>
      <c r="AU50" s="12">
        <v>8</v>
      </c>
      <c r="AV50" s="12">
        <v>10</v>
      </c>
      <c r="AW50" s="12">
        <v>20</v>
      </c>
      <c r="AX50" s="12">
        <v>10</v>
      </c>
      <c r="AY50" s="12">
        <v>10</v>
      </c>
      <c r="AZ50" s="12">
        <v>9</v>
      </c>
      <c r="BA50" s="12">
        <v>22</v>
      </c>
      <c r="BB50" s="12">
        <v>55</v>
      </c>
      <c r="BC50" s="12">
        <v>6</v>
      </c>
      <c r="BD50" s="12">
        <v>32</v>
      </c>
      <c r="BE50" s="12">
        <v>13</v>
      </c>
      <c r="BF50" s="12">
        <v>24</v>
      </c>
      <c r="BG50" s="12">
        <v>15</v>
      </c>
    </row>
    <row r="51" spans="1:59" x14ac:dyDescent="0.25">
      <c r="A51" t="s">
        <v>270</v>
      </c>
      <c r="B51" s="8" t="s">
        <v>19</v>
      </c>
      <c r="C51" s="12">
        <v>1</v>
      </c>
      <c r="D51" s="12">
        <v>1</v>
      </c>
      <c r="E51" s="12">
        <v>1</v>
      </c>
      <c r="F51" s="12">
        <v>1</v>
      </c>
      <c r="G51" s="12">
        <v>1</v>
      </c>
      <c r="H51" s="12">
        <v>1</v>
      </c>
      <c r="I51" s="12">
        <v>1</v>
      </c>
      <c r="J51" s="12">
        <v>3</v>
      </c>
      <c r="K51" s="12">
        <v>1</v>
      </c>
      <c r="L51" s="12">
        <v>1</v>
      </c>
      <c r="M51" s="12">
        <v>1</v>
      </c>
      <c r="N51" s="12">
        <v>1</v>
      </c>
      <c r="O51" s="12">
        <v>1</v>
      </c>
      <c r="P51" s="18">
        <v>0</v>
      </c>
      <c r="Q51" s="12">
        <v>0</v>
      </c>
      <c r="R51" s="12">
        <v>1</v>
      </c>
      <c r="S51" s="12">
        <v>3</v>
      </c>
      <c r="T51" s="12">
        <v>1</v>
      </c>
      <c r="U51" s="12">
        <v>1</v>
      </c>
      <c r="V51" s="12">
        <v>1</v>
      </c>
      <c r="W51" s="12">
        <v>1</v>
      </c>
      <c r="X51" s="12">
        <v>1</v>
      </c>
      <c r="Y51" s="12">
        <v>2</v>
      </c>
      <c r="Z51" s="12">
        <v>1</v>
      </c>
      <c r="AA51" s="12">
        <v>1</v>
      </c>
      <c r="AB51" s="12">
        <v>1</v>
      </c>
      <c r="AC51" s="12">
        <v>0</v>
      </c>
      <c r="AD51" s="12">
        <v>1</v>
      </c>
      <c r="AE51" s="12">
        <v>1</v>
      </c>
      <c r="AF51" s="12">
        <v>1</v>
      </c>
      <c r="AG51" s="12">
        <v>2</v>
      </c>
      <c r="AH51" s="12">
        <v>1</v>
      </c>
      <c r="AI51" s="12">
        <v>1</v>
      </c>
      <c r="AJ51" s="12">
        <v>1</v>
      </c>
      <c r="AK51" s="12">
        <v>1</v>
      </c>
      <c r="AL51" s="12">
        <v>1</v>
      </c>
      <c r="AM51" s="12">
        <v>1</v>
      </c>
      <c r="AN51" s="12">
        <v>1</v>
      </c>
      <c r="AO51" s="12">
        <v>1</v>
      </c>
      <c r="AP51" s="12">
        <v>1</v>
      </c>
      <c r="AQ51" s="12">
        <v>2</v>
      </c>
      <c r="AR51" s="12">
        <v>1</v>
      </c>
      <c r="AS51" s="12">
        <v>1</v>
      </c>
      <c r="AT51" s="12">
        <v>1</v>
      </c>
      <c r="AU51" s="12">
        <v>1</v>
      </c>
      <c r="AV51" s="12">
        <v>1</v>
      </c>
      <c r="AW51" s="12">
        <v>1</v>
      </c>
      <c r="AX51" s="12">
        <v>1</v>
      </c>
      <c r="AY51" s="12">
        <v>1</v>
      </c>
      <c r="AZ51" s="12">
        <v>1</v>
      </c>
      <c r="BA51" s="12">
        <v>1</v>
      </c>
      <c r="BB51" s="12">
        <v>1</v>
      </c>
      <c r="BC51" s="12">
        <v>1</v>
      </c>
      <c r="BD51" s="12">
        <v>1</v>
      </c>
      <c r="BE51" s="12">
        <v>1</v>
      </c>
      <c r="BF51" s="12">
        <v>4</v>
      </c>
      <c r="BG51" s="12">
        <v>1</v>
      </c>
    </row>
    <row r="52" spans="1:59" x14ac:dyDescent="0.25">
      <c r="A52" t="s">
        <v>274</v>
      </c>
      <c r="B52" s="9" t="s">
        <v>105</v>
      </c>
      <c r="C52" s="12">
        <f>IF(C51=1,1,0)</f>
        <v>1</v>
      </c>
      <c r="D52" s="12">
        <f t="shared" ref="D52:AC52" si="22">IF(D51=1,1,0)</f>
        <v>1</v>
      </c>
      <c r="E52" s="12">
        <f t="shared" si="22"/>
        <v>1</v>
      </c>
      <c r="F52" s="12">
        <f t="shared" si="22"/>
        <v>1</v>
      </c>
      <c r="G52" s="12">
        <f t="shared" si="22"/>
        <v>1</v>
      </c>
      <c r="H52" s="12">
        <f t="shared" si="22"/>
        <v>1</v>
      </c>
      <c r="I52" s="12">
        <f t="shared" si="22"/>
        <v>1</v>
      </c>
      <c r="J52" s="12">
        <f t="shared" si="22"/>
        <v>0</v>
      </c>
      <c r="K52" s="12">
        <f t="shared" si="22"/>
        <v>1</v>
      </c>
      <c r="L52" s="12">
        <f t="shared" si="22"/>
        <v>1</v>
      </c>
      <c r="M52" s="12">
        <f t="shared" si="22"/>
        <v>1</v>
      </c>
      <c r="N52" s="12">
        <f t="shared" si="22"/>
        <v>1</v>
      </c>
      <c r="O52" s="12">
        <f t="shared" si="22"/>
        <v>1</v>
      </c>
      <c r="P52" s="12">
        <f t="shared" si="22"/>
        <v>0</v>
      </c>
      <c r="Q52" s="12">
        <f t="shared" si="22"/>
        <v>0</v>
      </c>
      <c r="R52" s="12">
        <f t="shared" si="22"/>
        <v>1</v>
      </c>
      <c r="S52" s="12">
        <f t="shared" si="22"/>
        <v>0</v>
      </c>
      <c r="T52" s="12">
        <f t="shared" si="22"/>
        <v>1</v>
      </c>
      <c r="U52" s="12">
        <f t="shared" si="22"/>
        <v>1</v>
      </c>
      <c r="V52" s="12">
        <f t="shared" si="22"/>
        <v>1</v>
      </c>
      <c r="W52" s="12">
        <f t="shared" si="22"/>
        <v>1</v>
      </c>
      <c r="X52" s="12">
        <f t="shared" si="22"/>
        <v>1</v>
      </c>
      <c r="Y52" s="12">
        <f t="shared" si="22"/>
        <v>0</v>
      </c>
      <c r="Z52" s="12">
        <f t="shared" si="22"/>
        <v>1</v>
      </c>
      <c r="AA52" s="12">
        <f t="shared" si="22"/>
        <v>1</v>
      </c>
      <c r="AB52" s="12">
        <f t="shared" si="22"/>
        <v>1</v>
      </c>
      <c r="AC52" s="12">
        <f t="shared" si="22"/>
        <v>0</v>
      </c>
      <c r="AD52" s="12">
        <f>IF(AD51=1,1,0)</f>
        <v>1</v>
      </c>
      <c r="AE52" s="12">
        <f t="shared" ref="AE52:BG52" si="23">IF(AE51=1,1,0)</f>
        <v>1</v>
      </c>
      <c r="AF52" s="12">
        <f t="shared" si="23"/>
        <v>1</v>
      </c>
      <c r="AG52" s="12">
        <f t="shared" si="23"/>
        <v>0</v>
      </c>
      <c r="AH52" s="12">
        <f t="shared" si="23"/>
        <v>1</v>
      </c>
      <c r="AI52" s="12">
        <f t="shared" si="23"/>
        <v>1</v>
      </c>
      <c r="AJ52" s="12">
        <f t="shared" si="23"/>
        <v>1</v>
      </c>
      <c r="AK52" s="12">
        <f t="shared" si="23"/>
        <v>1</v>
      </c>
      <c r="AL52" s="12">
        <f t="shared" si="23"/>
        <v>1</v>
      </c>
      <c r="AM52" s="12">
        <f t="shared" si="23"/>
        <v>1</v>
      </c>
      <c r="AN52" s="12">
        <f t="shared" si="23"/>
        <v>1</v>
      </c>
      <c r="AO52" s="12">
        <f t="shared" si="23"/>
        <v>1</v>
      </c>
      <c r="AP52" s="12">
        <f t="shared" si="23"/>
        <v>1</v>
      </c>
      <c r="AQ52" s="12">
        <f t="shared" si="23"/>
        <v>0</v>
      </c>
      <c r="AR52" s="12">
        <f t="shared" si="23"/>
        <v>1</v>
      </c>
      <c r="AS52" s="12">
        <f t="shared" si="23"/>
        <v>1</v>
      </c>
      <c r="AT52" s="12">
        <f t="shared" si="23"/>
        <v>1</v>
      </c>
      <c r="AU52" s="12">
        <f t="shared" si="23"/>
        <v>1</v>
      </c>
      <c r="AV52" s="12">
        <f t="shared" si="23"/>
        <v>1</v>
      </c>
      <c r="AW52" s="12">
        <f t="shared" si="23"/>
        <v>1</v>
      </c>
      <c r="AX52" s="12">
        <f t="shared" si="23"/>
        <v>1</v>
      </c>
      <c r="AY52" s="12">
        <f t="shared" si="23"/>
        <v>1</v>
      </c>
      <c r="AZ52" s="12">
        <f t="shared" si="23"/>
        <v>1</v>
      </c>
      <c r="BA52" s="12">
        <f t="shared" si="23"/>
        <v>1</v>
      </c>
      <c r="BB52" s="12">
        <f t="shared" si="23"/>
        <v>1</v>
      </c>
      <c r="BC52" s="12">
        <f t="shared" si="23"/>
        <v>1</v>
      </c>
      <c r="BD52" s="12">
        <f t="shared" si="23"/>
        <v>1</v>
      </c>
      <c r="BE52" s="12">
        <f t="shared" si="23"/>
        <v>1</v>
      </c>
      <c r="BF52" s="12">
        <f t="shared" si="23"/>
        <v>0</v>
      </c>
      <c r="BG52" s="12">
        <f t="shared" si="23"/>
        <v>1</v>
      </c>
    </row>
    <row r="53" spans="1:59" x14ac:dyDescent="0.25">
      <c r="A53" t="s">
        <v>275</v>
      </c>
      <c r="B53" s="9" t="s">
        <v>154</v>
      </c>
      <c r="C53" s="12">
        <v>5</v>
      </c>
      <c r="D53" s="12">
        <v>4</v>
      </c>
      <c r="E53" s="12">
        <v>4</v>
      </c>
      <c r="F53" s="12">
        <v>15</v>
      </c>
      <c r="G53" s="12">
        <v>7</v>
      </c>
      <c r="H53" s="12">
        <v>5</v>
      </c>
      <c r="I53" s="12">
        <v>12</v>
      </c>
      <c r="J53" s="12">
        <v>31</v>
      </c>
      <c r="K53" s="12">
        <v>13</v>
      </c>
      <c r="L53" s="12">
        <v>13</v>
      </c>
      <c r="M53" s="12">
        <v>7</v>
      </c>
      <c r="N53" s="12">
        <v>3</v>
      </c>
      <c r="O53" s="12">
        <v>4</v>
      </c>
      <c r="P53" s="12">
        <v>1</v>
      </c>
      <c r="Q53" s="12">
        <v>8</v>
      </c>
      <c r="R53" s="12">
        <v>5</v>
      </c>
      <c r="S53" s="12">
        <v>28</v>
      </c>
      <c r="T53" s="12">
        <v>10</v>
      </c>
      <c r="U53" s="12">
        <v>3</v>
      </c>
      <c r="V53" s="12">
        <v>9</v>
      </c>
      <c r="W53" s="12">
        <v>6</v>
      </c>
      <c r="X53" s="12">
        <v>15</v>
      </c>
      <c r="Y53" s="12">
        <v>6</v>
      </c>
      <c r="Z53" s="12">
        <v>3</v>
      </c>
      <c r="AA53" s="12">
        <v>7</v>
      </c>
      <c r="AB53" s="12">
        <v>9</v>
      </c>
      <c r="AC53" s="12">
        <v>13</v>
      </c>
      <c r="AD53" s="12">
        <v>23</v>
      </c>
      <c r="AE53" s="12">
        <v>7</v>
      </c>
      <c r="AF53" s="12">
        <v>6</v>
      </c>
      <c r="AG53" s="12">
        <v>22</v>
      </c>
      <c r="AH53" s="12">
        <v>11</v>
      </c>
      <c r="AI53" s="12">
        <v>9</v>
      </c>
      <c r="AJ53" s="12">
        <v>7</v>
      </c>
      <c r="AK53" s="12">
        <v>8</v>
      </c>
      <c r="AL53" s="12">
        <v>21</v>
      </c>
      <c r="AM53" s="12">
        <v>6</v>
      </c>
      <c r="AN53" s="12">
        <v>5</v>
      </c>
      <c r="AO53" s="12">
        <v>4</v>
      </c>
      <c r="AP53" s="12">
        <v>2</v>
      </c>
      <c r="AQ53" s="12">
        <v>15</v>
      </c>
      <c r="AR53" s="12">
        <v>4</v>
      </c>
      <c r="AS53" s="12">
        <v>5</v>
      </c>
      <c r="AT53" s="12">
        <v>20</v>
      </c>
      <c r="AU53" s="12">
        <v>6</v>
      </c>
      <c r="AV53" s="12">
        <v>6</v>
      </c>
      <c r="AW53" s="12">
        <v>6</v>
      </c>
      <c r="AX53" s="12">
        <v>6</v>
      </c>
      <c r="AY53" s="12">
        <v>5</v>
      </c>
      <c r="AZ53" s="12">
        <v>7</v>
      </c>
      <c r="BA53" s="12">
        <v>6</v>
      </c>
      <c r="BB53" s="12">
        <v>38</v>
      </c>
      <c r="BC53" s="12">
        <v>6</v>
      </c>
      <c r="BD53" s="12">
        <v>6</v>
      </c>
      <c r="BE53" s="12">
        <v>4</v>
      </c>
      <c r="BF53" s="12">
        <v>8</v>
      </c>
      <c r="BG53" s="12">
        <v>5</v>
      </c>
    </row>
    <row r="54" spans="1:59" x14ac:dyDescent="0.25">
      <c r="A54" t="s">
        <v>276</v>
      </c>
      <c r="B54" s="8" t="s">
        <v>20</v>
      </c>
      <c r="C54" s="12">
        <v>3</v>
      </c>
      <c r="D54" s="12">
        <v>0</v>
      </c>
      <c r="E54" s="12">
        <v>0</v>
      </c>
      <c r="F54" s="12">
        <v>3</v>
      </c>
      <c r="G54" s="12">
        <v>3</v>
      </c>
      <c r="H54" s="12">
        <v>3</v>
      </c>
      <c r="I54" s="12">
        <v>0</v>
      </c>
      <c r="J54" s="12">
        <v>1</v>
      </c>
      <c r="K54" s="12">
        <v>3</v>
      </c>
      <c r="L54" s="12">
        <v>3</v>
      </c>
      <c r="M54" s="12">
        <v>3</v>
      </c>
      <c r="N54" s="12">
        <v>3</v>
      </c>
      <c r="O54" s="12">
        <v>3</v>
      </c>
      <c r="P54" s="18">
        <v>0</v>
      </c>
      <c r="Q54" s="12">
        <v>3</v>
      </c>
      <c r="R54" s="12">
        <v>0</v>
      </c>
      <c r="S54" s="12">
        <v>0</v>
      </c>
      <c r="T54" s="12">
        <v>3</v>
      </c>
      <c r="U54" s="12">
        <v>3</v>
      </c>
      <c r="V54" s="12">
        <v>3</v>
      </c>
      <c r="W54" s="12">
        <v>3</v>
      </c>
      <c r="X54" s="12">
        <v>3</v>
      </c>
      <c r="Y54" s="12">
        <v>3</v>
      </c>
      <c r="Z54" s="12">
        <v>3</v>
      </c>
      <c r="AA54" s="12">
        <v>3</v>
      </c>
      <c r="AB54" s="12">
        <v>3</v>
      </c>
      <c r="AC54" s="12">
        <v>1</v>
      </c>
      <c r="AD54" s="12">
        <v>1</v>
      </c>
      <c r="AE54" s="12">
        <v>3</v>
      </c>
      <c r="AF54" s="12">
        <v>3</v>
      </c>
      <c r="AG54" s="12">
        <v>0</v>
      </c>
      <c r="AH54" s="12">
        <v>3</v>
      </c>
      <c r="AI54" s="12">
        <v>3</v>
      </c>
      <c r="AJ54" s="12">
        <v>3</v>
      </c>
      <c r="AK54" s="12">
        <v>1</v>
      </c>
      <c r="AL54" s="12">
        <v>3</v>
      </c>
      <c r="AM54" s="12">
        <v>3</v>
      </c>
      <c r="AN54" s="12">
        <v>0</v>
      </c>
      <c r="AO54" s="12">
        <v>0</v>
      </c>
      <c r="AP54" s="12">
        <v>3</v>
      </c>
      <c r="AQ54" s="12">
        <v>3</v>
      </c>
      <c r="AR54" s="12">
        <v>3</v>
      </c>
      <c r="AS54" s="12">
        <v>0</v>
      </c>
      <c r="AT54" s="12">
        <v>3</v>
      </c>
      <c r="AU54" s="12">
        <v>3</v>
      </c>
      <c r="AV54" s="12">
        <v>3</v>
      </c>
      <c r="AW54" s="12">
        <v>3</v>
      </c>
      <c r="AX54" s="12">
        <v>0</v>
      </c>
      <c r="AY54" s="12">
        <v>3</v>
      </c>
      <c r="AZ54" s="12">
        <v>3</v>
      </c>
      <c r="BA54" s="12">
        <v>0</v>
      </c>
      <c r="BB54" s="12">
        <v>3</v>
      </c>
      <c r="BC54" s="12">
        <v>2</v>
      </c>
      <c r="BD54" s="12">
        <v>1</v>
      </c>
      <c r="BE54" s="12">
        <v>3</v>
      </c>
      <c r="BF54" s="12">
        <v>0</v>
      </c>
      <c r="BG54" s="12">
        <v>0</v>
      </c>
    </row>
    <row r="55" spans="1:59" x14ac:dyDescent="0.25">
      <c r="A55" t="s">
        <v>280</v>
      </c>
      <c r="B55" s="9" t="s">
        <v>107</v>
      </c>
      <c r="C55" s="12">
        <f>IF(C54=3,1,0)</f>
        <v>1</v>
      </c>
      <c r="D55" s="12">
        <f t="shared" ref="D55:AC55" si="24">IF(D54=3,1,0)</f>
        <v>0</v>
      </c>
      <c r="E55" s="12">
        <f t="shared" si="24"/>
        <v>0</v>
      </c>
      <c r="F55" s="12">
        <f t="shared" si="24"/>
        <v>1</v>
      </c>
      <c r="G55" s="12">
        <f t="shared" si="24"/>
        <v>1</v>
      </c>
      <c r="H55" s="12">
        <f t="shared" si="24"/>
        <v>1</v>
      </c>
      <c r="I55" s="12">
        <f t="shared" si="24"/>
        <v>0</v>
      </c>
      <c r="J55" s="12">
        <f t="shared" si="24"/>
        <v>0</v>
      </c>
      <c r="K55" s="12">
        <f t="shared" si="24"/>
        <v>1</v>
      </c>
      <c r="L55" s="12">
        <f t="shared" si="24"/>
        <v>1</v>
      </c>
      <c r="M55" s="12">
        <f t="shared" si="24"/>
        <v>1</v>
      </c>
      <c r="N55" s="12">
        <f t="shared" si="24"/>
        <v>1</v>
      </c>
      <c r="O55" s="12">
        <f t="shared" si="24"/>
        <v>1</v>
      </c>
      <c r="P55" s="12">
        <f t="shared" si="24"/>
        <v>0</v>
      </c>
      <c r="Q55" s="12">
        <f t="shared" si="24"/>
        <v>1</v>
      </c>
      <c r="R55" s="12">
        <f t="shared" si="24"/>
        <v>0</v>
      </c>
      <c r="S55" s="12">
        <f t="shared" si="24"/>
        <v>0</v>
      </c>
      <c r="T55" s="12">
        <f t="shared" si="24"/>
        <v>1</v>
      </c>
      <c r="U55" s="12">
        <f t="shared" si="24"/>
        <v>1</v>
      </c>
      <c r="V55" s="12">
        <f t="shared" si="24"/>
        <v>1</v>
      </c>
      <c r="W55" s="12">
        <f t="shared" si="24"/>
        <v>1</v>
      </c>
      <c r="X55" s="12">
        <f t="shared" si="24"/>
        <v>1</v>
      </c>
      <c r="Y55" s="12">
        <f t="shared" si="24"/>
        <v>1</v>
      </c>
      <c r="Z55" s="12">
        <f t="shared" si="24"/>
        <v>1</v>
      </c>
      <c r="AA55" s="12">
        <f t="shared" si="24"/>
        <v>1</v>
      </c>
      <c r="AB55" s="12">
        <f t="shared" si="24"/>
        <v>1</v>
      </c>
      <c r="AC55" s="12">
        <f t="shared" si="24"/>
        <v>0</v>
      </c>
      <c r="AD55" s="12">
        <f>IF(AD54=3,1,0)</f>
        <v>0</v>
      </c>
      <c r="AE55" s="12">
        <f t="shared" ref="AE55:BG55" si="25">IF(AE54=3,1,0)</f>
        <v>1</v>
      </c>
      <c r="AF55" s="12">
        <f t="shared" si="25"/>
        <v>1</v>
      </c>
      <c r="AG55" s="12">
        <f t="shared" si="25"/>
        <v>0</v>
      </c>
      <c r="AH55" s="12">
        <f t="shared" si="25"/>
        <v>1</v>
      </c>
      <c r="AI55" s="12">
        <f t="shared" si="25"/>
        <v>1</v>
      </c>
      <c r="AJ55" s="12">
        <f t="shared" si="25"/>
        <v>1</v>
      </c>
      <c r="AK55" s="12">
        <f t="shared" si="25"/>
        <v>0</v>
      </c>
      <c r="AL55" s="12">
        <f t="shared" si="25"/>
        <v>1</v>
      </c>
      <c r="AM55" s="12">
        <f t="shared" si="25"/>
        <v>1</v>
      </c>
      <c r="AN55" s="12">
        <f t="shared" si="25"/>
        <v>0</v>
      </c>
      <c r="AO55" s="12">
        <f t="shared" si="25"/>
        <v>0</v>
      </c>
      <c r="AP55" s="12">
        <f t="shared" si="25"/>
        <v>1</v>
      </c>
      <c r="AQ55" s="12">
        <f t="shared" si="25"/>
        <v>1</v>
      </c>
      <c r="AR55" s="12">
        <f t="shared" si="25"/>
        <v>1</v>
      </c>
      <c r="AS55" s="12">
        <f t="shared" si="25"/>
        <v>0</v>
      </c>
      <c r="AT55" s="12">
        <f t="shared" si="25"/>
        <v>1</v>
      </c>
      <c r="AU55" s="12">
        <f t="shared" si="25"/>
        <v>1</v>
      </c>
      <c r="AV55" s="12">
        <f t="shared" si="25"/>
        <v>1</v>
      </c>
      <c r="AW55" s="12">
        <f t="shared" si="25"/>
        <v>1</v>
      </c>
      <c r="AX55" s="12">
        <f t="shared" si="25"/>
        <v>0</v>
      </c>
      <c r="AY55" s="12">
        <f t="shared" si="25"/>
        <v>1</v>
      </c>
      <c r="AZ55" s="12">
        <f t="shared" si="25"/>
        <v>1</v>
      </c>
      <c r="BA55" s="12">
        <f t="shared" si="25"/>
        <v>0</v>
      </c>
      <c r="BB55" s="12">
        <f t="shared" si="25"/>
        <v>1</v>
      </c>
      <c r="BC55" s="12">
        <f t="shared" si="25"/>
        <v>0</v>
      </c>
      <c r="BD55" s="12">
        <f t="shared" si="25"/>
        <v>0</v>
      </c>
      <c r="BE55" s="12">
        <f t="shared" si="25"/>
        <v>1</v>
      </c>
      <c r="BF55" s="12">
        <f t="shared" si="25"/>
        <v>0</v>
      </c>
      <c r="BG55" s="12">
        <f t="shared" si="25"/>
        <v>0</v>
      </c>
    </row>
    <row r="56" spans="1:59" x14ac:dyDescent="0.25">
      <c r="A56" t="s">
        <v>281</v>
      </c>
      <c r="B56" s="9" t="s">
        <v>156</v>
      </c>
      <c r="C56" s="12">
        <v>20</v>
      </c>
      <c r="D56" s="12">
        <v>19</v>
      </c>
      <c r="E56" s="12">
        <v>37</v>
      </c>
      <c r="F56" s="12">
        <v>91</v>
      </c>
      <c r="G56" s="12">
        <v>36</v>
      </c>
      <c r="H56" s="12">
        <v>57</v>
      </c>
      <c r="I56" s="12">
        <v>182</v>
      </c>
      <c r="J56" s="12">
        <v>32</v>
      </c>
      <c r="K56" s="12">
        <v>47</v>
      </c>
      <c r="L56" s="12">
        <v>242</v>
      </c>
      <c r="M56" s="12">
        <v>3</v>
      </c>
      <c r="N56" s="12">
        <v>20</v>
      </c>
      <c r="O56" s="12">
        <v>16</v>
      </c>
      <c r="P56" s="12">
        <v>2</v>
      </c>
      <c r="Q56" s="12">
        <v>37</v>
      </c>
      <c r="R56" s="12">
        <v>16</v>
      </c>
      <c r="S56" s="12">
        <v>39</v>
      </c>
      <c r="T56" s="12">
        <v>23</v>
      </c>
      <c r="U56" s="12">
        <v>20</v>
      </c>
      <c r="V56" s="12">
        <v>41</v>
      </c>
      <c r="W56" s="12">
        <v>24</v>
      </c>
      <c r="X56" s="12">
        <v>36</v>
      </c>
      <c r="Y56" s="12">
        <v>11</v>
      </c>
      <c r="Z56" s="12">
        <v>21</v>
      </c>
      <c r="AA56" s="12">
        <v>21</v>
      </c>
      <c r="AB56" s="12">
        <v>21</v>
      </c>
      <c r="AC56" s="12">
        <v>48</v>
      </c>
      <c r="AD56" s="12">
        <v>58</v>
      </c>
      <c r="AE56" s="12">
        <v>2</v>
      </c>
      <c r="AF56" s="12">
        <v>11</v>
      </c>
      <c r="AG56" s="12">
        <v>65</v>
      </c>
      <c r="AH56" s="12">
        <v>30</v>
      </c>
      <c r="AI56" s="12">
        <v>170</v>
      </c>
      <c r="AJ56" s="12">
        <v>24</v>
      </c>
      <c r="AK56" s="12">
        <v>37</v>
      </c>
      <c r="AL56" s="12">
        <v>17</v>
      </c>
      <c r="AM56" s="12">
        <v>30</v>
      </c>
      <c r="AN56" s="12">
        <v>30</v>
      </c>
      <c r="AO56" s="12">
        <v>30</v>
      </c>
      <c r="AP56" s="12">
        <v>5</v>
      </c>
      <c r="AQ56" s="12">
        <v>24</v>
      </c>
      <c r="AR56" s="12">
        <v>30</v>
      </c>
      <c r="AS56" s="12">
        <v>12</v>
      </c>
      <c r="AT56" s="12">
        <v>64</v>
      </c>
      <c r="AU56" s="12">
        <v>21</v>
      </c>
      <c r="AV56" s="12">
        <v>23</v>
      </c>
      <c r="AW56" s="12">
        <v>27</v>
      </c>
      <c r="AX56" s="12">
        <v>23</v>
      </c>
      <c r="AY56" s="12">
        <v>18</v>
      </c>
      <c r="AZ56" s="12">
        <v>42</v>
      </c>
      <c r="BA56" s="12">
        <v>23</v>
      </c>
      <c r="BB56" s="12">
        <v>37</v>
      </c>
      <c r="BC56" s="12">
        <v>36</v>
      </c>
      <c r="BD56" s="12">
        <v>24</v>
      </c>
      <c r="BE56" s="12">
        <v>22</v>
      </c>
      <c r="BF56" s="12">
        <v>66</v>
      </c>
      <c r="BG56" s="12">
        <v>22</v>
      </c>
    </row>
    <row r="57" spans="1:59" x14ac:dyDescent="0.25">
      <c r="A57" t="s">
        <v>282</v>
      </c>
      <c r="B57" s="8" t="s">
        <v>21</v>
      </c>
      <c r="C57" s="12">
        <v>2</v>
      </c>
      <c r="D57" s="12">
        <v>2</v>
      </c>
      <c r="E57" s="12">
        <v>2</v>
      </c>
      <c r="F57" s="12">
        <v>2</v>
      </c>
      <c r="G57" s="12">
        <v>2</v>
      </c>
      <c r="H57" s="12">
        <v>2</v>
      </c>
      <c r="I57" s="12">
        <v>2</v>
      </c>
      <c r="J57" s="12">
        <v>2</v>
      </c>
      <c r="K57" s="12">
        <v>2</v>
      </c>
      <c r="L57" s="12">
        <v>2</v>
      </c>
      <c r="M57" s="12">
        <v>2</v>
      </c>
      <c r="N57" s="12">
        <v>2</v>
      </c>
      <c r="O57" s="12">
        <v>2</v>
      </c>
      <c r="P57" s="18">
        <v>0</v>
      </c>
      <c r="Q57" s="12">
        <v>2</v>
      </c>
      <c r="R57" s="12">
        <v>2</v>
      </c>
      <c r="S57" s="12">
        <v>2</v>
      </c>
      <c r="T57" s="12">
        <v>2</v>
      </c>
      <c r="U57" s="12">
        <v>2</v>
      </c>
      <c r="V57" s="12">
        <v>2</v>
      </c>
      <c r="W57" s="12">
        <v>2</v>
      </c>
      <c r="X57" s="12">
        <v>2</v>
      </c>
      <c r="Y57" s="12">
        <v>1</v>
      </c>
      <c r="Z57" s="12">
        <v>2</v>
      </c>
      <c r="AA57" s="12">
        <v>2</v>
      </c>
      <c r="AB57" s="12">
        <v>2</v>
      </c>
      <c r="AC57" s="12">
        <v>0</v>
      </c>
      <c r="AD57" s="12">
        <v>2</v>
      </c>
      <c r="AE57" s="12">
        <v>2</v>
      </c>
      <c r="AF57" s="12">
        <v>0</v>
      </c>
      <c r="AG57" s="12">
        <v>2</v>
      </c>
      <c r="AH57" s="12">
        <v>2</v>
      </c>
      <c r="AI57" s="12">
        <v>2</v>
      </c>
      <c r="AJ57" s="12">
        <v>2</v>
      </c>
      <c r="AK57" s="12">
        <v>2</v>
      </c>
      <c r="AL57" s="12">
        <v>2</v>
      </c>
      <c r="AM57" s="12">
        <v>2</v>
      </c>
      <c r="AN57" s="12">
        <v>2</v>
      </c>
      <c r="AO57" s="12">
        <v>2</v>
      </c>
      <c r="AP57" s="12">
        <v>2</v>
      </c>
      <c r="AQ57" s="12">
        <v>2</v>
      </c>
      <c r="AR57" s="12">
        <v>2</v>
      </c>
      <c r="AS57" s="12">
        <v>2</v>
      </c>
      <c r="AT57" s="12">
        <v>2</v>
      </c>
      <c r="AU57" s="12">
        <v>2</v>
      </c>
      <c r="AV57" s="12">
        <v>2</v>
      </c>
      <c r="AW57" s="12">
        <v>1</v>
      </c>
      <c r="AX57" s="12">
        <v>2</v>
      </c>
      <c r="AY57" s="12">
        <v>3</v>
      </c>
      <c r="AZ57" s="12">
        <v>2</v>
      </c>
      <c r="BA57" s="12">
        <v>2</v>
      </c>
      <c r="BB57" s="12">
        <v>2</v>
      </c>
      <c r="BC57" s="12">
        <v>2</v>
      </c>
      <c r="BD57" s="12">
        <v>1</v>
      </c>
      <c r="BE57" s="12">
        <v>2</v>
      </c>
      <c r="BF57" s="12">
        <v>2</v>
      </c>
      <c r="BG57" s="12">
        <v>2</v>
      </c>
    </row>
    <row r="58" spans="1:59" x14ac:dyDescent="0.25">
      <c r="A58" t="s">
        <v>286</v>
      </c>
      <c r="B58" s="9" t="s">
        <v>108</v>
      </c>
      <c r="C58" s="12">
        <f>IF(C57=2,1,0)</f>
        <v>1</v>
      </c>
      <c r="D58" s="12">
        <f t="shared" ref="D58:AC58" si="26">IF(D57=2,1,0)</f>
        <v>1</v>
      </c>
      <c r="E58" s="12">
        <f t="shared" si="26"/>
        <v>1</v>
      </c>
      <c r="F58" s="12">
        <f t="shared" si="26"/>
        <v>1</v>
      </c>
      <c r="G58" s="12">
        <f t="shared" si="26"/>
        <v>1</v>
      </c>
      <c r="H58" s="12">
        <f t="shared" si="26"/>
        <v>1</v>
      </c>
      <c r="I58" s="12">
        <f t="shared" si="26"/>
        <v>1</v>
      </c>
      <c r="J58" s="12">
        <f t="shared" si="26"/>
        <v>1</v>
      </c>
      <c r="K58" s="12">
        <f t="shared" si="26"/>
        <v>1</v>
      </c>
      <c r="L58" s="12">
        <f t="shared" si="26"/>
        <v>1</v>
      </c>
      <c r="M58" s="12">
        <f t="shared" si="26"/>
        <v>1</v>
      </c>
      <c r="N58" s="12">
        <f t="shared" si="26"/>
        <v>1</v>
      </c>
      <c r="O58" s="12">
        <f t="shared" si="26"/>
        <v>1</v>
      </c>
      <c r="P58" s="12">
        <f t="shared" si="26"/>
        <v>0</v>
      </c>
      <c r="Q58" s="12">
        <f t="shared" si="26"/>
        <v>1</v>
      </c>
      <c r="R58" s="12">
        <f t="shared" si="26"/>
        <v>1</v>
      </c>
      <c r="S58" s="12">
        <f t="shared" si="26"/>
        <v>1</v>
      </c>
      <c r="T58" s="12">
        <f t="shared" si="26"/>
        <v>1</v>
      </c>
      <c r="U58" s="12">
        <f t="shared" si="26"/>
        <v>1</v>
      </c>
      <c r="V58" s="12">
        <f t="shared" si="26"/>
        <v>1</v>
      </c>
      <c r="W58" s="12">
        <f t="shared" si="26"/>
        <v>1</v>
      </c>
      <c r="X58" s="12">
        <f t="shared" si="26"/>
        <v>1</v>
      </c>
      <c r="Y58" s="12">
        <f t="shared" si="26"/>
        <v>0</v>
      </c>
      <c r="Z58" s="12">
        <f t="shared" si="26"/>
        <v>1</v>
      </c>
      <c r="AA58" s="12">
        <f t="shared" si="26"/>
        <v>1</v>
      </c>
      <c r="AB58" s="12">
        <f t="shared" si="26"/>
        <v>1</v>
      </c>
      <c r="AC58" s="12">
        <f t="shared" si="26"/>
        <v>0</v>
      </c>
      <c r="AD58" s="12">
        <f>IF(AD57=2,1,0)</f>
        <v>1</v>
      </c>
      <c r="AE58" s="12">
        <f t="shared" ref="AE58:BG58" si="27">IF(AE57=2,1,0)</f>
        <v>1</v>
      </c>
      <c r="AF58" s="12">
        <f t="shared" si="27"/>
        <v>0</v>
      </c>
      <c r="AG58" s="12">
        <f t="shared" si="27"/>
        <v>1</v>
      </c>
      <c r="AH58" s="12">
        <f t="shared" si="27"/>
        <v>1</v>
      </c>
      <c r="AI58" s="12">
        <f t="shared" si="27"/>
        <v>1</v>
      </c>
      <c r="AJ58" s="12">
        <f t="shared" si="27"/>
        <v>1</v>
      </c>
      <c r="AK58" s="12">
        <f t="shared" si="27"/>
        <v>1</v>
      </c>
      <c r="AL58" s="12">
        <f t="shared" si="27"/>
        <v>1</v>
      </c>
      <c r="AM58" s="12">
        <f t="shared" si="27"/>
        <v>1</v>
      </c>
      <c r="AN58" s="12">
        <f t="shared" si="27"/>
        <v>1</v>
      </c>
      <c r="AO58" s="12">
        <f t="shared" si="27"/>
        <v>1</v>
      </c>
      <c r="AP58" s="12">
        <f t="shared" si="27"/>
        <v>1</v>
      </c>
      <c r="AQ58" s="12">
        <f t="shared" si="27"/>
        <v>1</v>
      </c>
      <c r="AR58" s="12">
        <f t="shared" si="27"/>
        <v>1</v>
      </c>
      <c r="AS58" s="12">
        <f t="shared" si="27"/>
        <v>1</v>
      </c>
      <c r="AT58" s="12">
        <f t="shared" si="27"/>
        <v>1</v>
      </c>
      <c r="AU58" s="12">
        <f t="shared" si="27"/>
        <v>1</v>
      </c>
      <c r="AV58" s="12">
        <f t="shared" si="27"/>
        <v>1</v>
      </c>
      <c r="AW58" s="12">
        <f t="shared" si="27"/>
        <v>0</v>
      </c>
      <c r="AX58" s="12">
        <f t="shared" si="27"/>
        <v>1</v>
      </c>
      <c r="AY58" s="12">
        <f t="shared" si="27"/>
        <v>0</v>
      </c>
      <c r="AZ58" s="12">
        <f t="shared" si="27"/>
        <v>1</v>
      </c>
      <c r="BA58" s="12">
        <f t="shared" si="27"/>
        <v>1</v>
      </c>
      <c r="BB58" s="12">
        <f t="shared" si="27"/>
        <v>1</v>
      </c>
      <c r="BC58" s="12">
        <f t="shared" si="27"/>
        <v>1</v>
      </c>
      <c r="BD58" s="12">
        <f t="shared" si="27"/>
        <v>0</v>
      </c>
      <c r="BE58" s="12">
        <f t="shared" si="27"/>
        <v>1</v>
      </c>
      <c r="BF58" s="12">
        <f t="shared" si="27"/>
        <v>1</v>
      </c>
      <c r="BG58" s="12">
        <f t="shared" si="27"/>
        <v>1</v>
      </c>
    </row>
    <row r="59" spans="1:59" x14ac:dyDescent="0.25">
      <c r="A59" t="s">
        <v>287</v>
      </c>
      <c r="B59" s="9" t="s">
        <v>157</v>
      </c>
      <c r="C59" s="12">
        <v>32</v>
      </c>
      <c r="D59" s="12">
        <v>28</v>
      </c>
      <c r="E59" s="12">
        <v>22</v>
      </c>
      <c r="F59" s="12">
        <v>13</v>
      </c>
      <c r="G59" s="12">
        <v>58</v>
      </c>
      <c r="H59" s="12">
        <v>105</v>
      </c>
      <c r="I59" s="12">
        <v>183</v>
      </c>
      <c r="J59" s="12">
        <v>88</v>
      </c>
      <c r="K59" s="12">
        <v>14</v>
      </c>
      <c r="L59" s="12">
        <v>125</v>
      </c>
      <c r="M59" s="12">
        <v>15</v>
      </c>
      <c r="N59" s="12">
        <v>4</v>
      </c>
      <c r="O59" s="12">
        <v>27</v>
      </c>
      <c r="P59" s="12">
        <v>1</v>
      </c>
      <c r="Q59" s="12">
        <v>10</v>
      </c>
      <c r="R59" s="12">
        <v>58</v>
      </c>
      <c r="S59" s="12">
        <v>8</v>
      </c>
      <c r="T59" s="12">
        <v>29</v>
      </c>
      <c r="U59" s="12">
        <v>37</v>
      </c>
      <c r="V59" s="12">
        <v>13</v>
      </c>
      <c r="W59" s="12">
        <v>26</v>
      </c>
      <c r="X59" s="12">
        <v>129</v>
      </c>
      <c r="Y59" s="12">
        <v>20</v>
      </c>
      <c r="Z59" s="12">
        <v>66</v>
      </c>
      <c r="AA59" s="12">
        <v>40</v>
      </c>
      <c r="AB59" s="12">
        <v>123</v>
      </c>
      <c r="AC59" s="12">
        <v>76</v>
      </c>
      <c r="AD59" s="12">
        <v>13</v>
      </c>
      <c r="AE59" s="12">
        <v>10</v>
      </c>
      <c r="AF59" s="12">
        <v>80</v>
      </c>
      <c r="AG59" s="12">
        <v>10</v>
      </c>
      <c r="AH59" s="12">
        <v>44</v>
      </c>
      <c r="AI59" s="12">
        <v>31</v>
      </c>
      <c r="AJ59" s="12">
        <v>76</v>
      </c>
      <c r="AK59" s="12">
        <v>43</v>
      </c>
      <c r="AL59" s="12">
        <v>21</v>
      </c>
      <c r="AM59" s="12">
        <v>30</v>
      </c>
      <c r="AN59" s="12">
        <v>21</v>
      </c>
      <c r="AO59" s="12">
        <v>9</v>
      </c>
      <c r="AP59" s="12">
        <v>3</v>
      </c>
      <c r="AQ59" s="12">
        <v>8</v>
      </c>
      <c r="AR59" s="12">
        <v>27</v>
      </c>
      <c r="AS59" s="12">
        <v>17</v>
      </c>
      <c r="AT59" s="12">
        <v>9</v>
      </c>
      <c r="AU59" s="12">
        <v>27</v>
      </c>
      <c r="AV59" s="12">
        <v>41</v>
      </c>
      <c r="AW59" s="12">
        <v>70</v>
      </c>
      <c r="AX59" s="12">
        <v>80</v>
      </c>
      <c r="AY59" s="12">
        <v>9</v>
      </c>
      <c r="AZ59" s="12">
        <v>141</v>
      </c>
      <c r="BA59" s="12">
        <v>17</v>
      </c>
      <c r="BB59" s="12">
        <v>23</v>
      </c>
      <c r="BC59" s="12">
        <v>42</v>
      </c>
      <c r="BD59" s="12">
        <v>57</v>
      </c>
      <c r="BE59" s="12">
        <v>17</v>
      </c>
      <c r="BF59" s="12">
        <v>54</v>
      </c>
      <c r="BG59" s="12">
        <v>10</v>
      </c>
    </row>
    <row r="60" spans="1:59" x14ac:dyDescent="0.25">
      <c r="A60" t="s">
        <v>288</v>
      </c>
      <c r="B60" s="9" t="s">
        <v>161</v>
      </c>
      <c r="C60" s="12">
        <f>C13-C59</f>
        <v>5</v>
      </c>
      <c r="D60" s="12">
        <f t="shared" ref="D60:AU60" si="28">D13-D59</f>
        <v>517</v>
      </c>
      <c r="E60" s="12">
        <f t="shared" si="28"/>
        <v>14</v>
      </c>
      <c r="F60" s="12">
        <f t="shared" si="28"/>
        <v>660</v>
      </c>
      <c r="G60" s="12">
        <f t="shared" si="28"/>
        <v>221</v>
      </c>
      <c r="H60" s="12">
        <f t="shared" si="28"/>
        <v>-52</v>
      </c>
      <c r="I60" s="12">
        <f t="shared" si="28"/>
        <v>7</v>
      </c>
      <c r="J60" s="12">
        <f t="shared" si="28"/>
        <v>13</v>
      </c>
      <c r="K60" s="12">
        <f t="shared" si="28"/>
        <v>105</v>
      </c>
      <c r="L60" s="12">
        <f t="shared" si="28"/>
        <v>-20</v>
      </c>
      <c r="M60" s="12">
        <f t="shared" si="28"/>
        <v>32</v>
      </c>
      <c r="N60" s="12">
        <f t="shared" si="28"/>
        <v>325</v>
      </c>
      <c r="O60" s="12">
        <f t="shared" si="28"/>
        <v>3</v>
      </c>
      <c r="P60" s="12">
        <f t="shared" si="28"/>
        <v>80</v>
      </c>
      <c r="Q60" s="12">
        <f t="shared" si="28"/>
        <v>86</v>
      </c>
      <c r="R60" s="12">
        <f t="shared" si="28"/>
        <v>53</v>
      </c>
      <c r="S60" s="12">
        <f t="shared" si="28"/>
        <v>106</v>
      </c>
      <c r="T60" s="12">
        <f t="shared" si="28"/>
        <v>126</v>
      </c>
      <c r="U60" s="12">
        <f t="shared" si="28"/>
        <v>7</v>
      </c>
      <c r="V60" s="12">
        <f t="shared" si="28"/>
        <v>303</v>
      </c>
      <c r="W60" s="12">
        <f t="shared" si="28"/>
        <v>21</v>
      </c>
      <c r="X60" s="12">
        <f t="shared" si="28"/>
        <v>274</v>
      </c>
      <c r="Y60" s="12">
        <f t="shared" si="28"/>
        <v>48</v>
      </c>
      <c r="Z60" s="12">
        <f t="shared" si="28"/>
        <v>102</v>
      </c>
      <c r="AA60" s="12">
        <f t="shared" si="28"/>
        <v>0</v>
      </c>
      <c r="AB60" s="12">
        <f t="shared" si="28"/>
        <v>-13</v>
      </c>
      <c r="AC60" s="12">
        <f t="shared" si="28"/>
        <v>-65</v>
      </c>
      <c r="AD60" s="12">
        <f t="shared" si="28"/>
        <v>39</v>
      </c>
      <c r="AE60" s="12">
        <f t="shared" si="28"/>
        <v>161</v>
      </c>
      <c r="AF60" s="12">
        <f t="shared" si="28"/>
        <v>-63</v>
      </c>
      <c r="AG60" s="12">
        <f t="shared" si="28"/>
        <v>172</v>
      </c>
      <c r="AH60" s="12">
        <f t="shared" si="28"/>
        <v>63</v>
      </c>
      <c r="AI60" s="12">
        <f t="shared" si="28"/>
        <v>61</v>
      </c>
      <c r="AJ60" s="12">
        <f t="shared" si="28"/>
        <v>55</v>
      </c>
      <c r="AK60" s="12">
        <f t="shared" si="28"/>
        <v>20</v>
      </c>
      <c r="AL60" s="12">
        <f t="shared" si="28"/>
        <v>212</v>
      </c>
      <c r="AM60" s="12">
        <f t="shared" si="28"/>
        <v>127</v>
      </c>
      <c r="AN60" s="12">
        <f t="shared" si="28"/>
        <v>3</v>
      </c>
      <c r="AO60" s="12">
        <f t="shared" si="28"/>
        <v>54</v>
      </c>
      <c r="AP60" s="12">
        <f t="shared" si="28"/>
        <v>0</v>
      </c>
      <c r="AQ60" s="12">
        <f t="shared" si="28"/>
        <v>45</v>
      </c>
      <c r="AR60" s="12">
        <f t="shared" si="28"/>
        <v>23</v>
      </c>
      <c r="AS60" s="12">
        <f t="shared" si="28"/>
        <v>77</v>
      </c>
      <c r="AT60" s="12">
        <f t="shared" si="28"/>
        <v>304</v>
      </c>
      <c r="AU60" s="12">
        <f t="shared" si="28"/>
        <v>97</v>
      </c>
      <c r="AV60" s="12">
        <f>AV13-AV59</f>
        <v>-5</v>
      </c>
      <c r="AW60" s="12">
        <f t="shared" ref="AW60:BG60" si="29">AW13-AW59</f>
        <v>88</v>
      </c>
      <c r="AX60" s="12">
        <f t="shared" si="29"/>
        <v>94</v>
      </c>
      <c r="AY60" s="12">
        <f t="shared" si="29"/>
        <v>-7</v>
      </c>
      <c r="AZ60" s="12">
        <f t="shared" si="29"/>
        <v>-128</v>
      </c>
      <c r="BA60" s="12">
        <f t="shared" si="29"/>
        <v>7</v>
      </c>
      <c r="BB60" s="12">
        <f t="shared" si="29"/>
        <v>165</v>
      </c>
      <c r="BC60" s="12">
        <f t="shared" si="29"/>
        <v>-11</v>
      </c>
      <c r="BD60" s="12">
        <f t="shared" si="29"/>
        <v>-56</v>
      </c>
      <c r="BE60" s="12">
        <f t="shared" si="29"/>
        <v>14</v>
      </c>
      <c r="BF60" s="12">
        <f t="shared" si="29"/>
        <v>-22</v>
      </c>
      <c r="BG60" s="12">
        <f t="shared" si="29"/>
        <v>80</v>
      </c>
    </row>
    <row r="61" spans="1:59" x14ac:dyDescent="0.25">
      <c r="A61" t="s">
        <v>295</v>
      </c>
      <c r="B61" s="9" t="s">
        <v>294</v>
      </c>
      <c r="V61" s="12"/>
      <c r="W61" s="12"/>
      <c r="X61" s="12"/>
      <c r="Y61" s="12"/>
      <c r="Z61" s="12"/>
      <c r="AA61" s="12"/>
      <c r="AB61" s="12"/>
    </row>
    <row r="62" spans="1:59" x14ac:dyDescent="0.25">
      <c r="A62" t="s">
        <v>296</v>
      </c>
      <c r="B62" s="8" t="s">
        <v>22</v>
      </c>
      <c r="C62" s="12">
        <v>2</v>
      </c>
      <c r="D62" s="12">
        <v>2</v>
      </c>
      <c r="E62" s="12">
        <v>3</v>
      </c>
      <c r="F62" s="12">
        <v>0</v>
      </c>
      <c r="G62" s="12">
        <v>2</v>
      </c>
      <c r="H62" s="12">
        <v>2</v>
      </c>
      <c r="I62" s="12">
        <v>3</v>
      </c>
      <c r="J62" s="12">
        <v>0</v>
      </c>
      <c r="K62" s="12">
        <v>0</v>
      </c>
      <c r="L62" s="12">
        <v>2</v>
      </c>
      <c r="M62" s="12">
        <v>1</v>
      </c>
      <c r="N62" s="12">
        <v>2</v>
      </c>
      <c r="O62" s="12">
        <v>2</v>
      </c>
      <c r="P62" s="18">
        <v>0</v>
      </c>
      <c r="Q62" s="12">
        <v>2</v>
      </c>
      <c r="R62" s="12">
        <v>3</v>
      </c>
      <c r="S62" s="12">
        <v>2</v>
      </c>
      <c r="T62" s="12">
        <v>3</v>
      </c>
      <c r="U62" s="12">
        <v>2</v>
      </c>
      <c r="V62" s="12">
        <v>1</v>
      </c>
      <c r="W62" s="12">
        <v>2</v>
      </c>
      <c r="X62" s="12">
        <v>2</v>
      </c>
      <c r="Y62" s="12">
        <v>2</v>
      </c>
      <c r="Z62" s="12">
        <v>0</v>
      </c>
      <c r="AA62" s="12">
        <v>3</v>
      </c>
      <c r="AB62" s="12">
        <v>2</v>
      </c>
      <c r="AC62" s="12">
        <v>3</v>
      </c>
      <c r="AD62" s="12">
        <v>3</v>
      </c>
      <c r="AE62" s="12">
        <v>3</v>
      </c>
      <c r="AF62" s="12">
        <v>1</v>
      </c>
      <c r="AG62" s="12">
        <v>3</v>
      </c>
      <c r="AH62" s="12">
        <v>0</v>
      </c>
      <c r="AI62" s="12">
        <v>2</v>
      </c>
      <c r="AJ62" s="12">
        <v>0</v>
      </c>
      <c r="AK62" s="12">
        <v>2</v>
      </c>
      <c r="AL62" s="12">
        <v>0</v>
      </c>
      <c r="AM62" s="12">
        <v>2</v>
      </c>
      <c r="AN62" s="12">
        <v>2</v>
      </c>
      <c r="AO62" s="12">
        <v>2</v>
      </c>
      <c r="AP62" s="12">
        <v>2</v>
      </c>
      <c r="AQ62" s="12">
        <v>0</v>
      </c>
      <c r="AR62" s="12">
        <v>2</v>
      </c>
      <c r="AS62" s="12">
        <v>2</v>
      </c>
      <c r="AT62" s="12">
        <v>0</v>
      </c>
      <c r="AU62" s="12">
        <v>2</v>
      </c>
      <c r="AV62" s="12">
        <v>3</v>
      </c>
      <c r="AW62" s="12">
        <v>3</v>
      </c>
      <c r="AX62" s="12">
        <v>0</v>
      </c>
      <c r="AY62" s="12">
        <v>1</v>
      </c>
      <c r="AZ62" s="12">
        <v>2</v>
      </c>
      <c r="BA62" s="12">
        <v>3</v>
      </c>
      <c r="BB62" s="12">
        <v>2</v>
      </c>
      <c r="BC62" s="12">
        <v>1</v>
      </c>
      <c r="BD62" s="12">
        <v>2</v>
      </c>
      <c r="BE62" s="12">
        <v>2</v>
      </c>
      <c r="BF62" s="12">
        <v>2</v>
      </c>
      <c r="BG62" s="12">
        <v>0</v>
      </c>
    </row>
    <row r="63" spans="1:59" x14ac:dyDescent="0.25">
      <c r="A63" t="s">
        <v>297</v>
      </c>
      <c r="B63" s="9" t="s">
        <v>109</v>
      </c>
      <c r="C63" s="12">
        <f>IF(C62=2,1,0)</f>
        <v>1</v>
      </c>
      <c r="D63" s="12">
        <f t="shared" ref="D63:AC63" si="30">IF(D62=2,1,0)</f>
        <v>1</v>
      </c>
      <c r="E63" s="12">
        <f t="shared" si="30"/>
        <v>0</v>
      </c>
      <c r="F63" s="12">
        <f t="shared" si="30"/>
        <v>0</v>
      </c>
      <c r="G63" s="12">
        <f t="shared" si="30"/>
        <v>1</v>
      </c>
      <c r="H63" s="12">
        <f t="shared" si="30"/>
        <v>1</v>
      </c>
      <c r="I63" s="12">
        <f t="shared" si="30"/>
        <v>0</v>
      </c>
      <c r="J63" s="12">
        <f t="shared" si="30"/>
        <v>0</v>
      </c>
      <c r="K63" s="12">
        <f t="shared" si="30"/>
        <v>0</v>
      </c>
      <c r="L63" s="12">
        <f t="shared" si="30"/>
        <v>1</v>
      </c>
      <c r="M63" s="12">
        <f t="shared" si="30"/>
        <v>0</v>
      </c>
      <c r="N63" s="12">
        <f t="shared" si="30"/>
        <v>1</v>
      </c>
      <c r="O63" s="12">
        <f t="shared" si="30"/>
        <v>1</v>
      </c>
      <c r="P63" s="12">
        <f t="shared" si="30"/>
        <v>0</v>
      </c>
      <c r="Q63" s="12">
        <f t="shared" si="30"/>
        <v>1</v>
      </c>
      <c r="R63" s="12">
        <f t="shared" si="30"/>
        <v>0</v>
      </c>
      <c r="S63" s="12">
        <f t="shared" si="30"/>
        <v>1</v>
      </c>
      <c r="T63" s="12">
        <f t="shared" si="30"/>
        <v>0</v>
      </c>
      <c r="U63" s="12">
        <f t="shared" si="30"/>
        <v>1</v>
      </c>
      <c r="V63" s="12">
        <f t="shared" si="30"/>
        <v>0</v>
      </c>
      <c r="W63" s="12">
        <f t="shared" si="30"/>
        <v>1</v>
      </c>
      <c r="X63" s="12">
        <f t="shared" si="30"/>
        <v>1</v>
      </c>
      <c r="Y63" s="12">
        <f t="shared" si="30"/>
        <v>1</v>
      </c>
      <c r="Z63" s="12">
        <f t="shared" si="30"/>
        <v>0</v>
      </c>
      <c r="AA63" s="12">
        <f t="shared" si="30"/>
        <v>0</v>
      </c>
      <c r="AB63" s="12">
        <f t="shared" si="30"/>
        <v>1</v>
      </c>
      <c r="AC63" s="12">
        <f t="shared" si="30"/>
        <v>0</v>
      </c>
      <c r="AD63" s="12">
        <f>IF(AD62=2,1,0)</f>
        <v>0</v>
      </c>
      <c r="AE63" s="12">
        <f t="shared" ref="AE63:BG63" si="31">IF(AE62=2,1,0)</f>
        <v>0</v>
      </c>
      <c r="AF63" s="12">
        <f t="shared" si="31"/>
        <v>0</v>
      </c>
      <c r="AG63" s="12">
        <f t="shared" si="31"/>
        <v>0</v>
      </c>
      <c r="AH63" s="12">
        <f t="shared" si="31"/>
        <v>0</v>
      </c>
      <c r="AI63" s="12">
        <f t="shared" si="31"/>
        <v>1</v>
      </c>
      <c r="AJ63" s="12">
        <f t="shared" si="31"/>
        <v>0</v>
      </c>
      <c r="AK63" s="12">
        <f t="shared" si="31"/>
        <v>1</v>
      </c>
      <c r="AL63" s="12">
        <f t="shared" si="31"/>
        <v>0</v>
      </c>
      <c r="AM63" s="12">
        <f t="shared" si="31"/>
        <v>1</v>
      </c>
      <c r="AN63" s="12">
        <f t="shared" si="31"/>
        <v>1</v>
      </c>
      <c r="AO63" s="12">
        <f t="shared" si="31"/>
        <v>1</v>
      </c>
      <c r="AP63" s="12">
        <f t="shared" si="31"/>
        <v>1</v>
      </c>
      <c r="AQ63" s="12">
        <f t="shared" si="31"/>
        <v>0</v>
      </c>
      <c r="AR63" s="12">
        <f t="shared" si="31"/>
        <v>1</v>
      </c>
      <c r="AS63" s="12">
        <f t="shared" si="31"/>
        <v>1</v>
      </c>
      <c r="AT63" s="12">
        <f t="shared" si="31"/>
        <v>0</v>
      </c>
      <c r="AU63" s="12">
        <f t="shared" si="31"/>
        <v>1</v>
      </c>
      <c r="AV63" s="12">
        <f t="shared" si="31"/>
        <v>0</v>
      </c>
      <c r="AW63" s="12">
        <f t="shared" si="31"/>
        <v>0</v>
      </c>
      <c r="AX63" s="12">
        <f t="shared" si="31"/>
        <v>0</v>
      </c>
      <c r="AY63" s="12">
        <f t="shared" si="31"/>
        <v>0</v>
      </c>
      <c r="AZ63" s="12">
        <f t="shared" si="31"/>
        <v>1</v>
      </c>
      <c r="BA63" s="12">
        <f t="shared" si="31"/>
        <v>0</v>
      </c>
      <c r="BB63" s="12">
        <f t="shared" si="31"/>
        <v>1</v>
      </c>
      <c r="BC63" s="12">
        <f t="shared" si="31"/>
        <v>0</v>
      </c>
      <c r="BD63" s="12">
        <f t="shared" si="31"/>
        <v>1</v>
      </c>
      <c r="BE63" s="12">
        <f t="shared" si="31"/>
        <v>1</v>
      </c>
      <c r="BF63" s="12">
        <f t="shared" si="31"/>
        <v>1</v>
      </c>
      <c r="BG63" s="12">
        <f t="shared" si="31"/>
        <v>0</v>
      </c>
    </row>
    <row r="64" spans="1:59" x14ac:dyDescent="0.25">
      <c r="A64" t="s">
        <v>298</v>
      </c>
      <c r="B64" s="9" t="s">
        <v>158</v>
      </c>
      <c r="C64" s="12">
        <v>154</v>
      </c>
      <c r="D64" s="12">
        <v>94</v>
      </c>
      <c r="E64" s="12">
        <v>127</v>
      </c>
      <c r="F64" s="12">
        <v>268</v>
      </c>
      <c r="G64" s="12">
        <v>314</v>
      </c>
      <c r="H64" s="12">
        <v>202</v>
      </c>
      <c r="I64" s="12">
        <v>109</v>
      </c>
      <c r="J64" s="12">
        <v>295</v>
      </c>
      <c r="K64" s="12">
        <v>958</v>
      </c>
      <c r="L64" s="12">
        <v>288</v>
      </c>
      <c r="M64" s="12">
        <v>25</v>
      </c>
      <c r="N64" s="12">
        <v>118</v>
      </c>
      <c r="O64" s="12">
        <v>232</v>
      </c>
      <c r="P64" s="12">
        <v>1</v>
      </c>
      <c r="Q64" s="12">
        <v>92</v>
      </c>
      <c r="R64" s="12">
        <v>22</v>
      </c>
      <c r="S64" s="12">
        <v>117</v>
      </c>
      <c r="T64" s="12">
        <v>228</v>
      </c>
      <c r="U64" s="12">
        <v>251</v>
      </c>
      <c r="V64" s="12">
        <v>215</v>
      </c>
      <c r="W64" s="12">
        <v>77</v>
      </c>
      <c r="X64" s="12">
        <v>308</v>
      </c>
      <c r="Y64" s="12">
        <v>14</v>
      </c>
      <c r="Z64" s="12">
        <v>305</v>
      </c>
      <c r="AA64" s="12">
        <v>42</v>
      </c>
      <c r="AB64" s="12">
        <v>286</v>
      </c>
      <c r="AC64" s="12">
        <v>20</v>
      </c>
      <c r="AD64" s="12">
        <v>32</v>
      </c>
      <c r="AE64" s="12">
        <v>10</v>
      </c>
      <c r="AF64" s="12">
        <v>3</v>
      </c>
      <c r="AG64" s="12">
        <v>854</v>
      </c>
      <c r="AH64" s="12">
        <v>148</v>
      </c>
      <c r="AI64" s="12">
        <v>350</v>
      </c>
      <c r="AJ64" s="12">
        <v>337</v>
      </c>
      <c r="AK64" s="12">
        <v>141</v>
      </c>
      <c r="AL64" s="12">
        <v>93</v>
      </c>
      <c r="AM64" s="12">
        <v>81</v>
      </c>
      <c r="AN64" s="12">
        <v>63</v>
      </c>
      <c r="AO64" s="12">
        <v>130</v>
      </c>
      <c r="AP64" s="12">
        <v>2</v>
      </c>
      <c r="AQ64" s="12">
        <v>92</v>
      </c>
      <c r="AR64" s="12">
        <v>109</v>
      </c>
      <c r="AS64" s="12">
        <v>87</v>
      </c>
      <c r="AT64" s="12">
        <v>64</v>
      </c>
      <c r="AU64" s="12">
        <v>56</v>
      </c>
      <c r="AV64" s="12">
        <v>18</v>
      </c>
      <c r="AW64" s="12">
        <v>25</v>
      </c>
      <c r="AX64" s="12">
        <v>25</v>
      </c>
      <c r="AY64" s="12">
        <v>231</v>
      </c>
      <c r="AZ64" s="12">
        <v>203</v>
      </c>
      <c r="BA64" s="12">
        <v>30</v>
      </c>
      <c r="BB64" s="12">
        <v>219</v>
      </c>
      <c r="BC64" s="12">
        <v>19</v>
      </c>
      <c r="BD64" s="12">
        <v>81</v>
      </c>
      <c r="BE64" s="12">
        <v>58</v>
      </c>
      <c r="BF64" s="12">
        <v>184</v>
      </c>
      <c r="BG64" s="12">
        <v>94</v>
      </c>
    </row>
    <row r="65" spans="1:59" x14ac:dyDescent="0.25">
      <c r="A65" t="s">
        <v>299</v>
      </c>
      <c r="B65" s="9" t="s">
        <v>159</v>
      </c>
      <c r="C65" s="12">
        <f>C22+C25+C28+C31+C34+C37+C40+C43+C46+C49+C52+C55+C58+C63</f>
        <v>14</v>
      </c>
      <c r="D65" s="12">
        <f t="shared" ref="D65:AC65" si="32">D22+D25+D28+D31+D34+D37+D40+D43+D46+D49+D52+D55+D58+D63</f>
        <v>11</v>
      </c>
      <c r="E65" s="12">
        <f t="shared" si="32"/>
        <v>12</v>
      </c>
      <c r="F65" s="12">
        <f t="shared" si="32"/>
        <v>7</v>
      </c>
      <c r="G65" s="12">
        <f t="shared" si="32"/>
        <v>11</v>
      </c>
      <c r="H65" s="12">
        <f t="shared" si="32"/>
        <v>11</v>
      </c>
      <c r="I65" s="12">
        <f t="shared" si="32"/>
        <v>10</v>
      </c>
      <c r="J65" s="12">
        <f t="shared" si="32"/>
        <v>7</v>
      </c>
      <c r="K65" s="12">
        <f t="shared" si="32"/>
        <v>9</v>
      </c>
      <c r="L65" s="12">
        <f t="shared" si="32"/>
        <v>11</v>
      </c>
      <c r="M65" s="12">
        <f t="shared" si="32"/>
        <v>10</v>
      </c>
      <c r="N65" s="12">
        <f t="shared" si="32"/>
        <v>14</v>
      </c>
      <c r="O65" s="12">
        <f t="shared" si="32"/>
        <v>13</v>
      </c>
      <c r="P65" s="12">
        <f t="shared" si="32"/>
        <v>3</v>
      </c>
      <c r="Q65" s="12">
        <f t="shared" si="32"/>
        <v>10</v>
      </c>
      <c r="R65" s="12">
        <f t="shared" si="32"/>
        <v>8</v>
      </c>
      <c r="S65" s="12">
        <f t="shared" si="32"/>
        <v>8</v>
      </c>
      <c r="T65" s="12">
        <f t="shared" si="32"/>
        <v>8</v>
      </c>
      <c r="U65" s="12">
        <f t="shared" si="32"/>
        <v>12</v>
      </c>
      <c r="V65" s="12">
        <f t="shared" si="32"/>
        <v>11</v>
      </c>
      <c r="W65" s="12">
        <f t="shared" si="32"/>
        <v>13</v>
      </c>
      <c r="X65" s="12">
        <f t="shared" si="32"/>
        <v>14</v>
      </c>
      <c r="Y65" s="12">
        <f t="shared" si="32"/>
        <v>4</v>
      </c>
      <c r="Z65" s="12">
        <f t="shared" si="32"/>
        <v>11</v>
      </c>
      <c r="AA65" s="12">
        <f t="shared" si="32"/>
        <v>8</v>
      </c>
      <c r="AB65" s="12">
        <f t="shared" si="32"/>
        <v>9</v>
      </c>
      <c r="AC65" s="12">
        <f t="shared" si="32"/>
        <v>2</v>
      </c>
      <c r="AD65" s="12">
        <f>AD22+AD25+AD28+AD31+AD34+AD37+AD40+AD43+AD46+AD49+AD52+AD55+AD58+AD63</f>
        <v>6</v>
      </c>
      <c r="AE65" s="12">
        <f t="shared" ref="AE65:BE66" si="33">AE22+AE25+AE28+AE31+AE34+AE37+AE40+AE43+AE46+AE49+AE52+AE55+AE58+AE63</f>
        <v>8</v>
      </c>
      <c r="AF65" s="12">
        <f t="shared" si="33"/>
        <v>7</v>
      </c>
      <c r="AG65" s="12">
        <f t="shared" si="33"/>
        <v>5</v>
      </c>
      <c r="AH65" s="12">
        <f t="shared" si="33"/>
        <v>12</v>
      </c>
      <c r="AI65" s="12">
        <f t="shared" si="33"/>
        <v>11</v>
      </c>
      <c r="AJ65" s="12">
        <f t="shared" si="33"/>
        <v>10</v>
      </c>
      <c r="AK65" s="12">
        <f t="shared" si="33"/>
        <v>8</v>
      </c>
      <c r="AL65" s="12">
        <f t="shared" si="33"/>
        <v>12</v>
      </c>
      <c r="AM65" s="12">
        <f t="shared" si="33"/>
        <v>14</v>
      </c>
      <c r="AN65" s="12">
        <f t="shared" si="33"/>
        <v>12</v>
      </c>
      <c r="AO65" s="12">
        <f t="shared" si="33"/>
        <v>11</v>
      </c>
      <c r="AP65" s="12">
        <f t="shared" si="33"/>
        <v>14</v>
      </c>
      <c r="AQ65" s="12">
        <f t="shared" si="33"/>
        <v>5</v>
      </c>
      <c r="AR65" s="12">
        <f t="shared" si="33"/>
        <v>12</v>
      </c>
      <c r="AS65" s="12">
        <f t="shared" si="33"/>
        <v>10</v>
      </c>
      <c r="AT65" s="12">
        <f t="shared" si="33"/>
        <v>9</v>
      </c>
      <c r="AU65" s="12">
        <f t="shared" si="33"/>
        <v>14</v>
      </c>
      <c r="AV65" s="12">
        <f t="shared" si="33"/>
        <v>11</v>
      </c>
      <c r="AW65" s="12">
        <f t="shared" si="33"/>
        <v>7</v>
      </c>
      <c r="AX65" s="12">
        <f t="shared" si="33"/>
        <v>8</v>
      </c>
      <c r="AY65" s="12">
        <f t="shared" si="33"/>
        <v>8</v>
      </c>
      <c r="AZ65" s="12">
        <f t="shared" si="33"/>
        <v>12</v>
      </c>
      <c r="BA65" s="12">
        <f t="shared" si="33"/>
        <v>8</v>
      </c>
      <c r="BB65" s="12">
        <f t="shared" si="33"/>
        <v>11</v>
      </c>
      <c r="BC65" s="12">
        <f t="shared" si="33"/>
        <v>7</v>
      </c>
      <c r="BD65" s="12">
        <f t="shared" si="33"/>
        <v>7</v>
      </c>
      <c r="BE65" s="12">
        <f t="shared" si="33"/>
        <v>13</v>
      </c>
      <c r="BF65" s="12">
        <f t="shared" ref="BF65:BG66" si="34">BF22+BF25+BF28+BF31+BF34+BF37+BF40+BF43+BF46+BF49+BF52+BF55+BF58+BF63</f>
        <v>9</v>
      </c>
      <c r="BG65" s="12">
        <f t="shared" si="34"/>
        <v>10</v>
      </c>
    </row>
    <row r="66" spans="1:59" x14ac:dyDescent="0.25">
      <c r="A66" t="s">
        <v>300</v>
      </c>
      <c r="B66" s="9" t="s">
        <v>160</v>
      </c>
      <c r="C66" s="12">
        <f>C23+C26+C29+C32+C35+C38+C41+C41+C44+C47+C50+C53+C59+C64</f>
        <v>490</v>
      </c>
      <c r="D66" s="12">
        <f t="shared" ref="D66:AC66" si="35">D23+D26+D29+D32+D35+D38+D41+D41+D44+D47+D50+D53+D59+D64</f>
        <v>402</v>
      </c>
      <c r="E66" s="12">
        <f t="shared" si="35"/>
        <v>349</v>
      </c>
      <c r="F66" s="12">
        <f t="shared" si="35"/>
        <v>1143</v>
      </c>
      <c r="G66" s="12">
        <f t="shared" si="35"/>
        <v>988</v>
      </c>
      <c r="H66" s="12">
        <f t="shared" si="35"/>
        <v>647</v>
      </c>
      <c r="I66" s="12">
        <f t="shared" si="35"/>
        <v>1245</v>
      </c>
      <c r="J66" s="12">
        <f t="shared" si="35"/>
        <v>1225</v>
      </c>
      <c r="K66" s="12">
        <f t="shared" si="35"/>
        <v>1890</v>
      </c>
      <c r="L66" s="12">
        <f t="shared" si="35"/>
        <v>1487</v>
      </c>
      <c r="M66" s="12">
        <f t="shared" si="35"/>
        <v>317</v>
      </c>
      <c r="N66" s="12">
        <f t="shared" si="35"/>
        <v>438</v>
      </c>
      <c r="O66" s="12">
        <f t="shared" si="35"/>
        <v>465</v>
      </c>
      <c r="P66" s="12">
        <f t="shared" si="35"/>
        <v>197</v>
      </c>
      <c r="Q66" s="12">
        <f t="shared" si="35"/>
        <v>423</v>
      </c>
      <c r="R66" s="12">
        <f t="shared" si="35"/>
        <v>432</v>
      </c>
      <c r="S66" s="12">
        <f t="shared" si="35"/>
        <v>585</v>
      </c>
      <c r="T66" s="12">
        <f t="shared" si="35"/>
        <v>585</v>
      </c>
      <c r="U66" s="12">
        <f t="shared" si="35"/>
        <v>686</v>
      </c>
      <c r="V66" s="12">
        <f t="shared" si="35"/>
        <v>765</v>
      </c>
      <c r="W66" s="12">
        <f t="shared" si="35"/>
        <v>444</v>
      </c>
      <c r="X66" s="12">
        <f t="shared" si="35"/>
        <v>1141</v>
      </c>
      <c r="Y66" s="12">
        <f t="shared" si="35"/>
        <v>457</v>
      </c>
      <c r="Z66" s="12">
        <f t="shared" si="35"/>
        <v>749</v>
      </c>
      <c r="AA66" s="12">
        <f t="shared" si="35"/>
        <v>358</v>
      </c>
      <c r="AB66" s="12">
        <f t="shared" si="35"/>
        <v>907</v>
      </c>
      <c r="AC66" s="12">
        <f t="shared" si="35"/>
        <v>347</v>
      </c>
      <c r="AD66" s="12">
        <f>AD23+AD26+AD29+AD32+AD35+AD38+AD41+AD44+AD47+AD50+AD53+AD56+AD59+AD64</f>
        <v>535</v>
      </c>
      <c r="AE66" s="12">
        <f t="shared" si="33"/>
        <v>169</v>
      </c>
      <c r="AF66" s="12">
        <f t="shared" si="33"/>
        <v>165</v>
      </c>
      <c r="AG66" s="12">
        <f t="shared" si="33"/>
        <v>1926</v>
      </c>
      <c r="AH66" s="12">
        <f t="shared" si="33"/>
        <v>519</v>
      </c>
      <c r="AI66" s="12">
        <f t="shared" si="33"/>
        <v>935</v>
      </c>
      <c r="AJ66" s="12">
        <f t="shared" si="33"/>
        <v>1610</v>
      </c>
      <c r="AK66" s="12">
        <f t="shared" si="33"/>
        <v>461</v>
      </c>
      <c r="AL66" s="12">
        <f t="shared" si="33"/>
        <v>440</v>
      </c>
      <c r="AM66" s="12">
        <f t="shared" si="33"/>
        <v>365</v>
      </c>
      <c r="AN66" s="12">
        <f t="shared" si="33"/>
        <v>446</v>
      </c>
      <c r="AO66" s="12">
        <f t="shared" si="33"/>
        <v>427</v>
      </c>
      <c r="AP66" s="12">
        <f t="shared" si="33"/>
        <v>345</v>
      </c>
      <c r="AQ66" s="12">
        <f t="shared" si="33"/>
        <v>249</v>
      </c>
      <c r="AR66" s="12">
        <f t="shared" si="33"/>
        <v>396</v>
      </c>
      <c r="AS66" s="12">
        <f t="shared" si="33"/>
        <v>285</v>
      </c>
      <c r="AT66" s="12">
        <f t="shared" si="33"/>
        <v>867</v>
      </c>
      <c r="AU66" s="12">
        <f t="shared" si="33"/>
        <v>271</v>
      </c>
      <c r="AV66" s="12">
        <f t="shared" si="33"/>
        <v>280</v>
      </c>
      <c r="AW66" s="12">
        <f t="shared" si="33"/>
        <v>433</v>
      </c>
      <c r="AX66" s="12">
        <f t="shared" si="33"/>
        <v>400</v>
      </c>
      <c r="AY66" s="12">
        <f t="shared" si="33"/>
        <v>789</v>
      </c>
      <c r="AZ66" s="12">
        <f t="shared" si="33"/>
        <v>843</v>
      </c>
      <c r="BA66" s="12">
        <f t="shared" si="33"/>
        <v>358</v>
      </c>
      <c r="BB66" s="12">
        <f t="shared" si="33"/>
        <v>865</v>
      </c>
      <c r="BC66" s="12">
        <f t="shared" si="33"/>
        <v>380</v>
      </c>
      <c r="BD66" s="12">
        <f t="shared" si="33"/>
        <v>465</v>
      </c>
      <c r="BE66" s="12">
        <f t="shared" si="33"/>
        <v>233</v>
      </c>
      <c r="BF66" s="12">
        <f t="shared" si="34"/>
        <v>742</v>
      </c>
      <c r="BG66" s="12">
        <f t="shared" si="34"/>
        <v>231</v>
      </c>
    </row>
    <row r="67" spans="1:59" x14ac:dyDescent="0.25">
      <c r="B67" s="10" t="s">
        <v>23</v>
      </c>
      <c r="P67" s="18"/>
    </row>
    <row r="68" spans="1:59" x14ac:dyDescent="0.25">
      <c r="B68" s="11" t="s">
        <v>113</v>
      </c>
      <c r="C68" s="12">
        <v>4</v>
      </c>
      <c r="D68" s="12">
        <v>4</v>
      </c>
      <c r="E68" s="12">
        <v>4</v>
      </c>
      <c r="F68" s="12">
        <v>4</v>
      </c>
      <c r="G68" s="12">
        <v>0</v>
      </c>
      <c r="H68" s="12">
        <v>4</v>
      </c>
      <c r="I68" s="12">
        <v>4</v>
      </c>
      <c r="J68" s="12">
        <v>3</v>
      </c>
      <c r="K68" s="12">
        <v>2</v>
      </c>
      <c r="L68" s="12">
        <v>4</v>
      </c>
      <c r="M68" s="12">
        <v>0</v>
      </c>
      <c r="N68" s="12">
        <v>4</v>
      </c>
      <c r="O68" s="12">
        <v>4</v>
      </c>
      <c r="P68" s="18">
        <v>0</v>
      </c>
      <c r="Q68" s="12">
        <v>4</v>
      </c>
      <c r="R68" s="12">
        <v>4</v>
      </c>
      <c r="S68" s="19">
        <v>4</v>
      </c>
      <c r="T68" s="12">
        <v>4</v>
      </c>
      <c r="U68" s="12">
        <v>3</v>
      </c>
      <c r="V68" s="12">
        <v>4</v>
      </c>
      <c r="W68" s="12">
        <v>4</v>
      </c>
      <c r="X68" s="12">
        <v>4</v>
      </c>
      <c r="Y68" s="12">
        <v>3</v>
      </c>
      <c r="Z68" s="12">
        <v>4</v>
      </c>
      <c r="AA68" s="12">
        <v>4</v>
      </c>
      <c r="AB68" s="12">
        <v>3</v>
      </c>
      <c r="AC68" s="12">
        <v>4</v>
      </c>
      <c r="AD68" s="12">
        <v>2</v>
      </c>
      <c r="AE68" s="12">
        <v>0</v>
      </c>
      <c r="AF68" s="12">
        <v>4</v>
      </c>
      <c r="AG68" s="12">
        <v>4</v>
      </c>
      <c r="AH68" s="12">
        <v>4</v>
      </c>
      <c r="AI68" s="12">
        <v>4</v>
      </c>
      <c r="AJ68" s="12">
        <v>4</v>
      </c>
      <c r="AK68" s="12">
        <v>4</v>
      </c>
      <c r="AL68" s="12">
        <v>4</v>
      </c>
      <c r="AM68" s="12">
        <v>4</v>
      </c>
      <c r="AN68" s="12">
        <v>4</v>
      </c>
      <c r="AO68" s="12">
        <v>4</v>
      </c>
      <c r="AP68" s="12">
        <v>2</v>
      </c>
      <c r="AQ68" s="12">
        <v>4</v>
      </c>
      <c r="AR68" s="12">
        <v>4</v>
      </c>
      <c r="AS68" s="12">
        <v>3</v>
      </c>
      <c r="AT68" s="12">
        <v>3</v>
      </c>
      <c r="AU68" s="12">
        <v>0</v>
      </c>
      <c r="AV68" s="12">
        <v>4</v>
      </c>
      <c r="AW68" s="12">
        <v>3</v>
      </c>
      <c r="AX68" s="12">
        <v>3</v>
      </c>
      <c r="AY68" s="12">
        <v>4</v>
      </c>
      <c r="AZ68" s="12">
        <v>4</v>
      </c>
      <c r="BA68" s="12">
        <v>3</v>
      </c>
      <c r="BB68" s="12">
        <v>4</v>
      </c>
      <c r="BC68" s="12">
        <v>4</v>
      </c>
      <c r="BD68" s="12">
        <v>2</v>
      </c>
      <c r="BE68" s="12">
        <v>3</v>
      </c>
      <c r="BF68" s="12">
        <v>4</v>
      </c>
      <c r="BG68" s="12">
        <v>3</v>
      </c>
    </row>
    <row r="69" spans="1:59" x14ac:dyDescent="0.25">
      <c r="B69" s="11" t="s">
        <v>114</v>
      </c>
      <c r="C69" s="12">
        <v>0</v>
      </c>
      <c r="D69" s="12">
        <v>3</v>
      </c>
      <c r="E69" s="12">
        <v>1</v>
      </c>
      <c r="F69" s="12">
        <v>4</v>
      </c>
      <c r="G69" s="12">
        <v>3</v>
      </c>
      <c r="H69" s="12">
        <v>3</v>
      </c>
      <c r="I69" s="12">
        <v>3</v>
      </c>
      <c r="J69" s="12">
        <v>3</v>
      </c>
      <c r="K69" s="12">
        <v>2</v>
      </c>
      <c r="L69" s="12">
        <v>4</v>
      </c>
      <c r="M69" s="12">
        <v>3</v>
      </c>
      <c r="N69" s="12">
        <v>4</v>
      </c>
      <c r="O69" s="12">
        <v>3</v>
      </c>
      <c r="P69" s="18">
        <v>0</v>
      </c>
      <c r="Q69" s="12">
        <v>1</v>
      </c>
      <c r="R69" s="12">
        <v>3</v>
      </c>
      <c r="S69" s="19">
        <v>4</v>
      </c>
      <c r="T69" s="12">
        <v>4</v>
      </c>
      <c r="U69" s="12">
        <v>4</v>
      </c>
      <c r="V69" s="12">
        <v>4</v>
      </c>
      <c r="W69" s="12">
        <v>1</v>
      </c>
      <c r="X69" s="12">
        <v>4</v>
      </c>
      <c r="Y69" s="12">
        <v>2</v>
      </c>
      <c r="Z69" s="12">
        <v>0</v>
      </c>
      <c r="AA69" s="12">
        <v>3</v>
      </c>
      <c r="AB69" s="12">
        <v>3</v>
      </c>
      <c r="AC69" s="12">
        <v>1</v>
      </c>
      <c r="AD69" s="12">
        <v>2</v>
      </c>
      <c r="AE69" s="12">
        <v>0</v>
      </c>
      <c r="AF69" s="12">
        <v>3</v>
      </c>
      <c r="AG69" s="12">
        <v>4</v>
      </c>
      <c r="AH69" s="12">
        <v>3</v>
      </c>
      <c r="AI69" s="12">
        <v>3</v>
      </c>
      <c r="AJ69" s="12">
        <v>4</v>
      </c>
      <c r="AK69" s="12">
        <v>3</v>
      </c>
      <c r="AL69" s="12">
        <v>4</v>
      </c>
      <c r="AM69" s="12">
        <v>4</v>
      </c>
      <c r="AN69" s="12">
        <v>4</v>
      </c>
      <c r="AO69" s="12">
        <v>4</v>
      </c>
      <c r="AP69" s="12">
        <v>3</v>
      </c>
      <c r="AQ69" s="12">
        <v>2</v>
      </c>
      <c r="AR69" s="12">
        <v>4</v>
      </c>
      <c r="AS69" s="12">
        <v>3</v>
      </c>
      <c r="AT69" s="12">
        <v>3</v>
      </c>
      <c r="AU69" s="12">
        <v>3</v>
      </c>
      <c r="AV69" s="12">
        <v>4</v>
      </c>
      <c r="AW69" s="12">
        <v>1</v>
      </c>
      <c r="AX69" s="12">
        <v>2</v>
      </c>
      <c r="AY69" s="12">
        <v>3</v>
      </c>
      <c r="AZ69" s="12">
        <v>3</v>
      </c>
      <c r="BA69" s="12">
        <v>2</v>
      </c>
      <c r="BB69" s="12">
        <v>4</v>
      </c>
      <c r="BC69" s="12">
        <v>2</v>
      </c>
      <c r="BD69" s="12">
        <v>1</v>
      </c>
      <c r="BE69" s="12">
        <v>4</v>
      </c>
      <c r="BF69" s="12">
        <v>4</v>
      </c>
      <c r="BG69" s="12">
        <v>3</v>
      </c>
    </row>
    <row r="70" spans="1:59" x14ac:dyDescent="0.25">
      <c r="B70" s="11" t="s">
        <v>115</v>
      </c>
      <c r="C70" s="12">
        <v>0</v>
      </c>
      <c r="D70" s="12">
        <v>4</v>
      </c>
      <c r="E70" s="12">
        <v>1</v>
      </c>
      <c r="F70" s="12">
        <v>4</v>
      </c>
      <c r="G70" s="12">
        <v>3</v>
      </c>
      <c r="H70" s="12">
        <v>3</v>
      </c>
      <c r="I70" s="12">
        <v>4</v>
      </c>
      <c r="J70" s="12">
        <v>3</v>
      </c>
      <c r="K70" s="12">
        <v>2</v>
      </c>
      <c r="L70" s="12">
        <v>4</v>
      </c>
      <c r="M70" s="12">
        <v>3</v>
      </c>
      <c r="N70" s="12">
        <v>4</v>
      </c>
      <c r="O70" s="12">
        <v>3</v>
      </c>
      <c r="P70" s="18">
        <v>0</v>
      </c>
      <c r="Q70" s="12">
        <v>1</v>
      </c>
      <c r="R70" s="12">
        <v>3</v>
      </c>
      <c r="S70" s="19">
        <v>4</v>
      </c>
      <c r="T70" s="12">
        <v>4</v>
      </c>
      <c r="U70" s="12">
        <v>4</v>
      </c>
      <c r="V70" s="12">
        <v>4</v>
      </c>
      <c r="W70" s="12">
        <v>3</v>
      </c>
      <c r="X70" s="12">
        <v>4</v>
      </c>
      <c r="Y70" s="12">
        <v>0</v>
      </c>
      <c r="Z70" s="12">
        <v>4</v>
      </c>
      <c r="AA70" s="12">
        <v>3</v>
      </c>
      <c r="AB70" s="12">
        <v>2</v>
      </c>
      <c r="AC70" s="12">
        <v>2</v>
      </c>
      <c r="AD70" s="12">
        <v>3</v>
      </c>
      <c r="AE70" s="12">
        <v>0</v>
      </c>
      <c r="AF70" s="12">
        <v>3</v>
      </c>
      <c r="AG70" s="12">
        <v>4</v>
      </c>
      <c r="AH70" s="12">
        <v>4</v>
      </c>
      <c r="AI70" s="12">
        <v>3</v>
      </c>
      <c r="AJ70" s="12">
        <v>4</v>
      </c>
      <c r="AK70" s="12">
        <v>3</v>
      </c>
      <c r="AL70" s="12">
        <v>4</v>
      </c>
      <c r="AM70" s="12">
        <v>3</v>
      </c>
      <c r="AN70" s="12">
        <v>4</v>
      </c>
      <c r="AO70" s="12">
        <v>4</v>
      </c>
      <c r="AP70" s="12">
        <v>3</v>
      </c>
      <c r="AQ70" s="12">
        <v>2</v>
      </c>
      <c r="AR70" s="12">
        <v>4</v>
      </c>
      <c r="AS70" s="12">
        <v>1</v>
      </c>
      <c r="AT70" s="12">
        <v>2</v>
      </c>
      <c r="AU70" s="12">
        <v>2</v>
      </c>
      <c r="AV70" s="12">
        <v>4</v>
      </c>
      <c r="AW70" s="12">
        <v>1</v>
      </c>
      <c r="AX70" s="12">
        <v>4</v>
      </c>
      <c r="AY70" s="12">
        <v>3</v>
      </c>
      <c r="AZ70" s="12">
        <v>3</v>
      </c>
      <c r="BA70" s="12">
        <v>2</v>
      </c>
      <c r="BB70" s="12">
        <v>3</v>
      </c>
      <c r="BC70" s="12">
        <v>1</v>
      </c>
      <c r="BD70" s="12">
        <v>2</v>
      </c>
      <c r="BE70" s="12">
        <v>4</v>
      </c>
      <c r="BF70" s="12">
        <v>4</v>
      </c>
      <c r="BG70" s="12">
        <v>3</v>
      </c>
    </row>
    <row r="71" spans="1:59" x14ac:dyDescent="0.25">
      <c r="B71" s="11" t="s">
        <v>116</v>
      </c>
      <c r="C71" s="12">
        <v>2</v>
      </c>
      <c r="D71" s="12">
        <v>4</v>
      </c>
      <c r="E71" s="12">
        <v>3</v>
      </c>
      <c r="F71" s="12">
        <v>4</v>
      </c>
      <c r="G71" s="12">
        <v>3</v>
      </c>
      <c r="H71" s="12">
        <v>4</v>
      </c>
      <c r="I71" s="12">
        <v>4</v>
      </c>
      <c r="J71" s="12">
        <v>2</v>
      </c>
      <c r="K71" s="12">
        <v>2</v>
      </c>
      <c r="L71" s="12">
        <v>4</v>
      </c>
      <c r="M71" s="12">
        <v>3</v>
      </c>
      <c r="N71" s="12">
        <v>4</v>
      </c>
      <c r="O71" s="12">
        <v>4</v>
      </c>
      <c r="P71" s="18">
        <v>0</v>
      </c>
      <c r="Q71" s="12">
        <v>3</v>
      </c>
      <c r="R71" s="12">
        <v>2</v>
      </c>
      <c r="S71" s="19">
        <v>4</v>
      </c>
      <c r="T71" s="12">
        <v>4</v>
      </c>
      <c r="U71" s="12">
        <v>1</v>
      </c>
      <c r="V71" s="12">
        <v>3</v>
      </c>
      <c r="W71" s="12">
        <v>1</v>
      </c>
      <c r="X71" s="12">
        <v>4</v>
      </c>
      <c r="Y71" s="12">
        <v>1</v>
      </c>
      <c r="Z71" s="12">
        <v>4</v>
      </c>
      <c r="AA71" s="12">
        <v>4</v>
      </c>
      <c r="AB71" s="12">
        <v>4</v>
      </c>
      <c r="AC71" s="12">
        <v>3</v>
      </c>
      <c r="AD71" s="12">
        <v>3</v>
      </c>
      <c r="AE71" s="12">
        <v>0</v>
      </c>
      <c r="AF71" s="12">
        <v>3</v>
      </c>
      <c r="AG71" s="12">
        <v>4</v>
      </c>
      <c r="AH71" s="12">
        <v>4</v>
      </c>
      <c r="AI71" s="12">
        <v>3</v>
      </c>
      <c r="AJ71" s="12">
        <v>4</v>
      </c>
      <c r="AK71" s="12">
        <v>3</v>
      </c>
      <c r="AL71" s="12">
        <v>4</v>
      </c>
      <c r="AM71" s="12">
        <v>4</v>
      </c>
      <c r="AN71" s="12">
        <v>4</v>
      </c>
      <c r="AO71" s="12">
        <v>4</v>
      </c>
      <c r="AP71" s="12">
        <v>3</v>
      </c>
      <c r="AQ71" s="12">
        <v>3</v>
      </c>
      <c r="AR71" s="12">
        <v>4</v>
      </c>
      <c r="AS71" s="12">
        <v>3</v>
      </c>
      <c r="AT71" s="12">
        <v>3</v>
      </c>
      <c r="AU71" s="12">
        <v>4</v>
      </c>
      <c r="AV71" s="12">
        <v>4</v>
      </c>
      <c r="AW71" s="12">
        <v>1</v>
      </c>
      <c r="AX71" s="12">
        <v>3</v>
      </c>
      <c r="AY71" s="12">
        <v>2</v>
      </c>
      <c r="AZ71" s="12">
        <v>3</v>
      </c>
      <c r="BA71" s="12">
        <v>4</v>
      </c>
      <c r="BB71" s="12">
        <v>4</v>
      </c>
      <c r="BC71" s="12">
        <v>2</v>
      </c>
      <c r="BD71" s="12">
        <v>2</v>
      </c>
      <c r="BE71" s="12">
        <v>4</v>
      </c>
      <c r="BF71" s="12">
        <v>4</v>
      </c>
      <c r="BG71" s="12">
        <v>3</v>
      </c>
    </row>
    <row r="72" spans="1:59" x14ac:dyDescent="0.25">
      <c r="B72" s="11" t="s">
        <v>117</v>
      </c>
      <c r="C72" s="12">
        <v>4</v>
      </c>
      <c r="D72" s="12">
        <v>4</v>
      </c>
      <c r="E72" s="12">
        <v>3</v>
      </c>
      <c r="F72" s="12">
        <v>4</v>
      </c>
      <c r="G72" s="12">
        <v>4</v>
      </c>
      <c r="H72" s="12">
        <v>3</v>
      </c>
      <c r="I72" s="12">
        <v>4</v>
      </c>
      <c r="J72" s="12">
        <v>3</v>
      </c>
      <c r="K72" s="12">
        <v>3</v>
      </c>
      <c r="L72" s="12">
        <v>4</v>
      </c>
      <c r="M72" s="12">
        <v>4</v>
      </c>
      <c r="N72" s="12">
        <v>4</v>
      </c>
      <c r="O72" s="12">
        <v>4</v>
      </c>
      <c r="P72" s="18">
        <v>0</v>
      </c>
      <c r="Q72" s="12">
        <v>4</v>
      </c>
      <c r="R72" s="12">
        <v>4</v>
      </c>
      <c r="S72" s="19">
        <v>4</v>
      </c>
      <c r="T72" s="12">
        <v>4</v>
      </c>
      <c r="U72" s="12">
        <v>3</v>
      </c>
      <c r="V72" s="12">
        <v>4</v>
      </c>
      <c r="W72" s="12">
        <v>4</v>
      </c>
      <c r="X72" s="12">
        <v>4</v>
      </c>
      <c r="Y72" s="12">
        <v>2</v>
      </c>
      <c r="Z72" s="12">
        <v>4</v>
      </c>
      <c r="AA72" s="12">
        <v>4</v>
      </c>
      <c r="AB72" s="12">
        <v>4</v>
      </c>
      <c r="AC72" s="12">
        <v>2</v>
      </c>
      <c r="AD72" s="12">
        <v>2</v>
      </c>
      <c r="AE72" s="12">
        <v>4</v>
      </c>
      <c r="AF72" s="12">
        <v>3</v>
      </c>
      <c r="AG72" s="12">
        <v>4</v>
      </c>
      <c r="AH72" s="12">
        <v>4</v>
      </c>
      <c r="AI72" s="12">
        <v>4</v>
      </c>
      <c r="AJ72" s="12">
        <v>4</v>
      </c>
      <c r="AK72" s="12">
        <v>3</v>
      </c>
      <c r="AL72" s="12">
        <v>4</v>
      </c>
      <c r="AM72" s="12">
        <v>4</v>
      </c>
      <c r="AN72" s="12">
        <v>4</v>
      </c>
      <c r="AO72" s="12">
        <v>4</v>
      </c>
      <c r="AP72" s="12">
        <v>3</v>
      </c>
      <c r="AQ72" s="12">
        <v>4</v>
      </c>
      <c r="AR72" s="12">
        <v>4</v>
      </c>
      <c r="AS72" s="12">
        <v>4</v>
      </c>
      <c r="AT72" s="12">
        <v>4</v>
      </c>
      <c r="AU72" s="12">
        <v>3</v>
      </c>
      <c r="AV72" s="12">
        <v>4</v>
      </c>
      <c r="AW72" s="12">
        <v>3</v>
      </c>
      <c r="AX72" s="12">
        <v>3</v>
      </c>
      <c r="AY72" s="12">
        <v>3</v>
      </c>
      <c r="AZ72" s="12">
        <v>4</v>
      </c>
      <c r="BA72" s="12">
        <v>4</v>
      </c>
      <c r="BB72" s="12">
        <v>4</v>
      </c>
      <c r="BC72" s="12">
        <v>4</v>
      </c>
      <c r="BD72" s="12">
        <v>3</v>
      </c>
      <c r="BE72" s="12">
        <v>4</v>
      </c>
      <c r="BF72" s="12">
        <v>3</v>
      </c>
      <c r="BG72" s="12">
        <v>3</v>
      </c>
    </row>
    <row r="73" spans="1:59" x14ac:dyDescent="0.25">
      <c r="B73" s="11" t="s">
        <v>118</v>
      </c>
      <c r="C73" s="12">
        <v>4</v>
      </c>
      <c r="D73" s="12">
        <v>4</v>
      </c>
      <c r="E73" s="12">
        <v>4</v>
      </c>
      <c r="F73" s="12">
        <v>4</v>
      </c>
      <c r="G73" s="12">
        <v>4</v>
      </c>
      <c r="H73" s="12">
        <v>3</v>
      </c>
      <c r="I73" s="12">
        <v>4</v>
      </c>
      <c r="J73" s="12">
        <v>4</v>
      </c>
      <c r="K73" s="12">
        <v>3</v>
      </c>
      <c r="L73" s="12">
        <v>4</v>
      </c>
      <c r="M73" s="12">
        <v>4</v>
      </c>
      <c r="N73" s="12">
        <v>4</v>
      </c>
      <c r="O73" s="12">
        <v>4</v>
      </c>
      <c r="P73" s="18">
        <v>0</v>
      </c>
      <c r="Q73" s="12">
        <v>4</v>
      </c>
      <c r="R73" s="12">
        <v>4</v>
      </c>
      <c r="S73" s="19">
        <v>4</v>
      </c>
      <c r="T73" s="12">
        <v>4</v>
      </c>
      <c r="U73" s="12">
        <v>4</v>
      </c>
      <c r="V73" s="12">
        <v>4</v>
      </c>
      <c r="W73" s="12">
        <v>4</v>
      </c>
      <c r="X73" s="12">
        <v>4</v>
      </c>
      <c r="Y73" s="12">
        <v>3</v>
      </c>
      <c r="Z73" s="12">
        <v>4</v>
      </c>
      <c r="AA73" s="12">
        <v>4</v>
      </c>
      <c r="AB73" s="12">
        <v>4</v>
      </c>
      <c r="AC73" s="12">
        <v>4</v>
      </c>
      <c r="AD73" s="12">
        <v>3</v>
      </c>
      <c r="AE73" s="12">
        <v>4</v>
      </c>
      <c r="AF73" s="12">
        <v>3</v>
      </c>
      <c r="AG73" s="12">
        <v>4</v>
      </c>
      <c r="AH73" s="12">
        <v>3</v>
      </c>
      <c r="AI73" s="12">
        <v>4</v>
      </c>
      <c r="AJ73" s="12">
        <v>4</v>
      </c>
      <c r="AK73" s="12">
        <v>2</v>
      </c>
      <c r="AL73" s="12">
        <v>4</v>
      </c>
      <c r="AM73" s="12">
        <v>3</v>
      </c>
      <c r="AN73" s="12">
        <v>4</v>
      </c>
      <c r="AO73" s="12">
        <v>4</v>
      </c>
      <c r="AP73" s="12">
        <v>2</v>
      </c>
      <c r="AQ73" s="12">
        <v>4</v>
      </c>
      <c r="AR73" s="12">
        <v>4</v>
      </c>
      <c r="AS73" s="12">
        <v>4</v>
      </c>
      <c r="AT73" s="12">
        <v>3</v>
      </c>
      <c r="AU73" s="12">
        <v>2</v>
      </c>
      <c r="AV73" s="12">
        <v>4</v>
      </c>
      <c r="AW73" s="12">
        <v>3</v>
      </c>
      <c r="AX73" s="12">
        <v>4</v>
      </c>
      <c r="AY73" s="12">
        <v>3</v>
      </c>
      <c r="AZ73" s="12">
        <v>4</v>
      </c>
      <c r="BA73" s="12">
        <v>3</v>
      </c>
      <c r="BB73" s="12">
        <v>4</v>
      </c>
      <c r="BC73" s="12">
        <v>4</v>
      </c>
      <c r="BD73" s="12">
        <v>3</v>
      </c>
      <c r="BE73" s="12">
        <v>3</v>
      </c>
      <c r="BF73" s="12">
        <v>4</v>
      </c>
      <c r="BG73" s="12">
        <v>3</v>
      </c>
    </row>
    <row r="74" spans="1:59" x14ac:dyDescent="0.25">
      <c r="B74" s="11" t="s">
        <v>119</v>
      </c>
      <c r="C74" s="12">
        <v>3</v>
      </c>
      <c r="D74" s="12">
        <v>4</v>
      </c>
      <c r="E74" s="12">
        <v>4</v>
      </c>
      <c r="F74" s="12">
        <v>4</v>
      </c>
      <c r="G74" s="12">
        <v>3</v>
      </c>
      <c r="H74" s="12">
        <v>3</v>
      </c>
      <c r="I74" s="12">
        <v>4</v>
      </c>
      <c r="J74" s="12">
        <v>3</v>
      </c>
      <c r="K74" s="12">
        <v>3</v>
      </c>
      <c r="L74" s="12">
        <v>4</v>
      </c>
      <c r="M74" s="12">
        <v>4</v>
      </c>
      <c r="N74" s="12">
        <v>4</v>
      </c>
      <c r="O74" s="12">
        <v>3</v>
      </c>
      <c r="P74" s="18">
        <v>0</v>
      </c>
      <c r="Q74" s="12">
        <v>4</v>
      </c>
      <c r="R74" s="12">
        <v>4</v>
      </c>
      <c r="S74" s="19">
        <v>4</v>
      </c>
      <c r="T74" s="12">
        <v>4</v>
      </c>
      <c r="U74" s="12">
        <v>4</v>
      </c>
      <c r="V74" s="12">
        <v>4</v>
      </c>
      <c r="W74" s="12">
        <v>4</v>
      </c>
      <c r="X74" s="12">
        <v>4</v>
      </c>
      <c r="Y74" s="12">
        <v>3</v>
      </c>
      <c r="Z74" s="12">
        <v>4</v>
      </c>
      <c r="AA74" s="12">
        <v>4</v>
      </c>
      <c r="AB74" s="12">
        <v>4</v>
      </c>
      <c r="AC74" s="12">
        <v>4</v>
      </c>
      <c r="AD74" s="12">
        <v>3</v>
      </c>
      <c r="AE74" s="12">
        <v>4</v>
      </c>
      <c r="AF74" s="12">
        <v>3</v>
      </c>
      <c r="AG74" s="12">
        <v>4</v>
      </c>
      <c r="AH74" s="12">
        <v>4</v>
      </c>
      <c r="AI74" s="12">
        <v>3</v>
      </c>
      <c r="AJ74" s="12">
        <v>4</v>
      </c>
      <c r="AK74" s="12">
        <v>4</v>
      </c>
      <c r="AL74" s="12">
        <v>4</v>
      </c>
      <c r="AM74" s="12">
        <v>3</v>
      </c>
      <c r="AN74" s="12">
        <v>4</v>
      </c>
      <c r="AO74" s="12">
        <v>4</v>
      </c>
      <c r="AP74" s="12">
        <v>3</v>
      </c>
      <c r="AQ74" s="12">
        <v>4</v>
      </c>
      <c r="AR74" s="12">
        <v>3</v>
      </c>
      <c r="AS74" s="12">
        <v>4</v>
      </c>
      <c r="AT74" s="12">
        <v>3</v>
      </c>
      <c r="AU74" s="12">
        <v>2</v>
      </c>
      <c r="AV74" s="12">
        <v>4</v>
      </c>
      <c r="AW74" s="12">
        <v>3</v>
      </c>
      <c r="AX74" s="12">
        <v>4</v>
      </c>
      <c r="AY74" s="12">
        <v>3</v>
      </c>
      <c r="AZ74" s="12">
        <v>4</v>
      </c>
      <c r="BA74" s="12">
        <v>1</v>
      </c>
      <c r="BB74" s="12">
        <v>4</v>
      </c>
      <c r="BC74" s="12">
        <v>4</v>
      </c>
      <c r="BD74" s="12">
        <v>2</v>
      </c>
      <c r="BE74" s="12">
        <v>4</v>
      </c>
      <c r="BF74" s="12">
        <v>4</v>
      </c>
      <c r="BG74" s="12">
        <v>3</v>
      </c>
    </row>
    <row r="75" spans="1:59" x14ac:dyDescent="0.25">
      <c r="B75" s="11" t="s">
        <v>120</v>
      </c>
      <c r="C75" s="12">
        <v>3</v>
      </c>
      <c r="D75" s="12">
        <v>4</v>
      </c>
      <c r="E75" s="12">
        <v>3</v>
      </c>
      <c r="F75" s="12">
        <v>4</v>
      </c>
      <c r="G75" s="12">
        <v>4</v>
      </c>
      <c r="H75" s="12">
        <v>4</v>
      </c>
      <c r="I75" s="12">
        <v>4</v>
      </c>
      <c r="J75" s="12">
        <v>3</v>
      </c>
      <c r="K75" s="12">
        <v>3</v>
      </c>
      <c r="L75" s="12">
        <v>4</v>
      </c>
      <c r="M75" s="12">
        <v>1</v>
      </c>
      <c r="N75" s="12">
        <v>4</v>
      </c>
      <c r="O75" s="12">
        <v>4</v>
      </c>
      <c r="P75" s="18">
        <v>0</v>
      </c>
      <c r="Q75" s="12">
        <v>4</v>
      </c>
      <c r="R75" s="12">
        <v>4</v>
      </c>
      <c r="S75" s="19">
        <v>4</v>
      </c>
      <c r="T75" s="12">
        <v>4</v>
      </c>
      <c r="U75" s="12">
        <v>4</v>
      </c>
      <c r="V75" s="12">
        <v>2</v>
      </c>
      <c r="W75" s="12">
        <v>0</v>
      </c>
      <c r="X75" s="12">
        <v>3</v>
      </c>
      <c r="Y75" s="12">
        <v>2</v>
      </c>
      <c r="Z75" s="12">
        <v>4</v>
      </c>
      <c r="AA75" s="12">
        <v>3</v>
      </c>
      <c r="AB75" s="12">
        <v>4</v>
      </c>
      <c r="AC75" s="12">
        <v>4</v>
      </c>
      <c r="AD75" s="12">
        <v>2</v>
      </c>
      <c r="AE75" s="12">
        <v>4</v>
      </c>
      <c r="AF75" s="12">
        <v>3</v>
      </c>
      <c r="AG75" s="12">
        <v>4</v>
      </c>
      <c r="AH75" s="12">
        <v>4</v>
      </c>
      <c r="AI75" s="12">
        <v>3</v>
      </c>
      <c r="AJ75" s="12">
        <v>4</v>
      </c>
      <c r="AK75" s="12">
        <v>3</v>
      </c>
      <c r="AL75" s="12">
        <v>3</v>
      </c>
      <c r="AM75" s="12">
        <v>3</v>
      </c>
      <c r="AN75" s="12">
        <v>4</v>
      </c>
      <c r="AO75" s="12">
        <v>4</v>
      </c>
      <c r="AP75" s="12">
        <v>3</v>
      </c>
      <c r="AQ75" s="12">
        <v>4</v>
      </c>
      <c r="AR75" s="12">
        <v>4</v>
      </c>
      <c r="AS75" s="12">
        <v>4</v>
      </c>
      <c r="AT75" s="12">
        <v>4</v>
      </c>
      <c r="AU75" s="12">
        <v>2</v>
      </c>
      <c r="AV75" s="12">
        <v>4</v>
      </c>
      <c r="AW75" s="12">
        <v>3</v>
      </c>
      <c r="AX75" s="12">
        <v>1</v>
      </c>
      <c r="AY75" s="12">
        <v>2</v>
      </c>
      <c r="AZ75" s="12">
        <v>3</v>
      </c>
      <c r="BA75" s="12">
        <v>3</v>
      </c>
      <c r="BB75" s="12">
        <v>4</v>
      </c>
      <c r="BC75" s="12">
        <v>4</v>
      </c>
      <c r="BD75" s="12">
        <v>2</v>
      </c>
      <c r="BE75" s="12">
        <v>3</v>
      </c>
      <c r="BF75" s="12">
        <v>4</v>
      </c>
      <c r="BG75" s="12">
        <v>2</v>
      </c>
    </row>
    <row r="76" spans="1:59" x14ac:dyDescent="0.25">
      <c r="B76" s="11" t="s">
        <v>121</v>
      </c>
      <c r="C76" s="12">
        <v>1</v>
      </c>
      <c r="D76" s="12">
        <v>4</v>
      </c>
      <c r="E76" s="12">
        <v>3</v>
      </c>
      <c r="F76" s="12">
        <v>4</v>
      </c>
      <c r="G76" s="12">
        <v>4</v>
      </c>
      <c r="H76" s="12">
        <v>4</v>
      </c>
      <c r="I76" s="12">
        <v>4</v>
      </c>
      <c r="J76" s="12">
        <v>3</v>
      </c>
      <c r="K76" s="12">
        <v>3</v>
      </c>
      <c r="L76" s="12">
        <v>4</v>
      </c>
      <c r="M76" s="12">
        <v>1</v>
      </c>
      <c r="N76" s="12">
        <v>4</v>
      </c>
      <c r="O76" s="12">
        <v>4</v>
      </c>
      <c r="P76" s="18">
        <v>0</v>
      </c>
      <c r="Q76" s="12">
        <v>4</v>
      </c>
      <c r="R76" s="12">
        <v>4</v>
      </c>
      <c r="S76" s="19">
        <v>4</v>
      </c>
      <c r="T76" s="12">
        <v>4</v>
      </c>
      <c r="U76" s="12">
        <v>4</v>
      </c>
      <c r="V76" s="12">
        <v>4</v>
      </c>
      <c r="W76" s="12">
        <v>1</v>
      </c>
      <c r="X76" s="12">
        <v>3</v>
      </c>
      <c r="Y76" s="12">
        <v>3</v>
      </c>
      <c r="Z76" s="12">
        <v>4</v>
      </c>
      <c r="AA76" s="12">
        <v>4</v>
      </c>
      <c r="AB76" s="12">
        <v>4</v>
      </c>
      <c r="AC76" s="12">
        <v>4</v>
      </c>
      <c r="AD76" s="12">
        <v>2</v>
      </c>
      <c r="AE76" s="12">
        <v>4</v>
      </c>
      <c r="AF76" s="12">
        <v>3</v>
      </c>
      <c r="AG76" s="12">
        <v>4</v>
      </c>
      <c r="AH76" s="12">
        <v>4</v>
      </c>
      <c r="AI76" s="12">
        <v>3</v>
      </c>
      <c r="AJ76" s="12">
        <v>4</v>
      </c>
      <c r="AK76" s="12">
        <v>3</v>
      </c>
      <c r="AL76" s="12">
        <v>4</v>
      </c>
      <c r="AM76" s="12">
        <v>3</v>
      </c>
      <c r="AN76" s="12">
        <v>4</v>
      </c>
      <c r="AO76" s="12">
        <v>4</v>
      </c>
      <c r="AP76" s="12">
        <v>2</v>
      </c>
      <c r="AQ76" s="12">
        <v>4</v>
      </c>
      <c r="AR76" s="12">
        <v>3</v>
      </c>
      <c r="AS76" s="12">
        <v>4</v>
      </c>
      <c r="AT76" s="12">
        <v>3</v>
      </c>
      <c r="AU76" s="12">
        <v>2</v>
      </c>
      <c r="AV76" s="12">
        <v>4</v>
      </c>
      <c r="AW76" s="12">
        <v>3</v>
      </c>
      <c r="AX76" s="12">
        <v>1</v>
      </c>
      <c r="AY76" s="12">
        <v>2</v>
      </c>
      <c r="AZ76" s="12">
        <v>4</v>
      </c>
      <c r="BA76" s="12">
        <v>3</v>
      </c>
      <c r="BB76" s="12">
        <v>4</v>
      </c>
      <c r="BC76" s="12">
        <v>4</v>
      </c>
      <c r="BD76" s="12">
        <v>2</v>
      </c>
      <c r="BE76" s="12">
        <v>4</v>
      </c>
      <c r="BF76" s="12">
        <v>4</v>
      </c>
      <c r="BG76" s="12">
        <v>2</v>
      </c>
    </row>
    <row r="77" spans="1:59" x14ac:dyDescent="0.25">
      <c r="B77" s="11" t="s">
        <v>122</v>
      </c>
      <c r="C77" s="12">
        <v>0</v>
      </c>
      <c r="D77" s="12">
        <v>4</v>
      </c>
      <c r="E77" s="12">
        <v>4</v>
      </c>
      <c r="F77" s="12">
        <v>4</v>
      </c>
      <c r="G77" s="12">
        <v>4</v>
      </c>
      <c r="H77" s="12">
        <v>4</v>
      </c>
      <c r="I77" s="12">
        <v>4</v>
      </c>
      <c r="J77" s="12">
        <v>2</v>
      </c>
      <c r="K77" s="12">
        <v>3</v>
      </c>
      <c r="L77" s="12">
        <v>2</v>
      </c>
      <c r="M77" s="12">
        <v>0</v>
      </c>
      <c r="N77" s="12">
        <v>4</v>
      </c>
      <c r="O77" s="12">
        <v>3</v>
      </c>
      <c r="P77" s="18">
        <v>0</v>
      </c>
      <c r="Q77" s="12">
        <v>4</v>
      </c>
      <c r="R77" s="12">
        <v>4</v>
      </c>
      <c r="S77" s="19">
        <v>4</v>
      </c>
      <c r="T77" s="12">
        <v>4</v>
      </c>
      <c r="U77" s="12">
        <v>4</v>
      </c>
      <c r="V77" s="12">
        <v>4</v>
      </c>
      <c r="W77" s="12">
        <v>3</v>
      </c>
      <c r="X77" s="12">
        <v>4</v>
      </c>
      <c r="Y77" s="12">
        <v>2</v>
      </c>
      <c r="Z77" s="12">
        <v>4</v>
      </c>
      <c r="AA77" s="12">
        <v>3</v>
      </c>
      <c r="AB77" s="12">
        <v>3</v>
      </c>
      <c r="AC77" s="12">
        <v>4</v>
      </c>
      <c r="AD77" s="12">
        <v>3</v>
      </c>
      <c r="AE77" s="12">
        <v>4</v>
      </c>
      <c r="AF77" s="12">
        <v>3</v>
      </c>
      <c r="AG77" s="12">
        <v>3</v>
      </c>
      <c r="AH77" s="12">
        <v>4</v>
      </c>
      <c r="AI77" s="12">
        <v>4</v>
      </c>
      <c r="AJ77" s="12">
        <v>4</v>
      </c>
      <c r="AK77" s="12">
        <v>4</v>
      </c>
      <c r="AL77" s="12">
        <v>4</v>
      </c>
      <c r="AM77" s="12">
        <v>4</v>
      </c>
      <c r="AN77" s="12">
        <v>4</v>
      </c>
      <c r="AO77" s="12">
        <v>4</v>
      </c>
      <c r="AP77" s="12">
        <v>3</v>
      </c>
      <c r="AQ77" s="12">
        <v>3</v>
      </c>
      <c r="AR77" s="12">
        <v>4</v>
      </c>
      <c r="AS77" s="12">
        <v>4</v>
      </c>
      <c r="AT77" s="12">
        <v>4</v>
      </c>
      <c r="AU77" s="12">
        <v>3</v>
      </c>
      <c r="AV77" s="12">
        <v>4</v>
      </c>
      <c r="AW77" s="12">
        <v>3</v>
      </c>
      <c r="AX77" s="12">
        <v>0</v>
      </c>
      <c r="AY77" s="12">
        <v>4</v>
      </c>
      <c r="AZ77" s="12">
        <v>4</v>
      </c>
      <c r="BA77" s="12">
        <v>4</v>
      </c>
      <c r="BB77" s="12">
        <v>4</v>
      </c>
      <c r="BC77" s="12">
        <v>4</v>
      </c>
      <c r="BD77" s="12">
        <v>3</v>
      </c>
      <c r="BE77" s="12">
        <v>4</v>
      </c>
      <c r="BF77" s="12">
        <v>4</v>
      </c>
      <c r="BG77" s="12">
        <v>3</v>
      </c>
    </row>
    <row r="78" spans="1:59" x14ac:dyDescent="0.25">
      <c r="B78" s="11" t="s">
        <v>124</v>
      </c>
      <c r="C78" s="12">
        <v>0</v>
      </c>
      <c r="D78" s="12">
        <v>4</v>
      </c>
      <c r="E78" s="12">
        <v>4</v>
      </c>
      <c r="F78" s="12">
        <v>4</v>
      </c>
      <c r="G78" s="12">
        <v>3</v>
      </c>
      <c r="H78" s="12">
        <v>4</v>
      </c>
      <c r="I78" s="12">
        <v>4</v>
      </c>
      <c r="J78" s="12">
        <v>3</v>
      </c>
      <c r="K78" s="12">
        <v>2</v>
      </c>
      <c r="L78" s="12">
        <v>4</v>
      </c>
      <c r="M78" s="12">
        <v>0</v>
      </c>
      <c r="N78" s="12">
        <v>4</v>
      </c>
      <c r="O78" s="12">
        <v>3</v>
      </c>
      <c r="P78" s="18">
        <v>0</v>
      </c>
      <c r="Q78" s="12">
        <v>4</v>
      </c>
      <c r="R78" s="12">
        <v>4</v>
      </c>
      <c r="S78" s="19">
        <v>4</v>
      </c>
      <c r="T78" s="12">
        <v>4</v>
      </c>
      <c r="U78" s="12">
        <v>3</v>
      </c>
      <c r="V78" s="12">
        <v>4</v>
      </c>
      <c r="W78" s="12">
        <v>2</v>
      </c>
      <c r="X78" s="12">
        <v>4</v>
      </c>
      <c r="Y78" s="12">
        <v>2</v>
      </c>
      <c r="Z78" s="12">
        <v>4</v>
      </c>
      <c r="AA78" s="12">
        <v>4</v>
      </c>
      <c r="AB78" s="12">
        <v>4</v>
      </c>
      <c r="AC78" s="12">
        <v>4</v>
      </c>
      <c r="AD78" s="12">
        <v>2</v>
      </c>
      <c r="AE78" s="12">
        <v>4</v>
      </c>
      <c r="AF78" s="12">
        <v>3</v>
      </c>
      <c r="AG78" s="12">
        <v>4</v>
      </c>
      <c r="AH78" s="12">
        <v>4</v>
      </c>
      <c r="AI78" s="12">
        <v>4</v>
      </c>
      <c r="AJ78" s="12">
        <v>4</v>
      </c>
      <c r="AK78" s="12">
        <v>4</v>
      </c>
      <c r="AL78" s="12">
        <v>4</v>
      </c>
      <c r="AM78" s="12">
        <v>4</v>
      </c>
      <c r="AN78" s="12">
        <v>4</v>
      </c>
      <c r="AO78" s="12">
        <v>4</v>
      </c>
      <c r="AP78" s="12">
        <v>3</v>
      </c>
      <c r="AQ78" s="12">
        <v>4</v>
      </c>
      <c r="AR78" s="12">
        <v>4</v>
      </c>
      <c r="AS78" s="12">
        <v>4</v>
      </c>
      <c r="AT78" s="12">
        <v>3</v>
      </c>
      <c r="AU78" s="12">
        <v>4</v>
      </c>
      <c r="AV78" s="12">
        <v>4</v>
      </c>
      <c r="AW78" s="12">
        <v>3</v>
      </c>
      <c r="AX78" s="12">
        <v>4</v>
      </c>
      <c r="AY78" s="12">
        <v>4</v>
      </c>
      <c r="AZ78" s="12">
        <v>4</v>
      </c>
      <c r="BA78" s="12">
        <v>4</v>
      </c>
      <c r="BB78" s="12">
        <v>4</v>
      </c>
      <c r="BC78" s="12">
        <v>4</v>
      </c>
      <c r="BD78" s="12">
        <v>4</v>
      </c>
      <c r="BE78" s="12">
        <v>4</v>
      </c>
      <c r="BF78" s="12">
        <v>4</v>
      </c>
      <c r="BG78" s="12">
        <v>3</v>
      </c>
    </row>
    <row r="79" spans="1:59" x14ac:dyDescent="0.25">
      <c r="B79" s="11" t="s">
        <v>123</v>
      </c>
      <c r="C79" s="12">
        <v>3</v>
      </c>
      <c r="D79" s="12">
        <v>4</v>
      </c>
      <c r="E79" s="12">
        <v>4</v>
      </c>
      <c r="F79" s="12">
        <v>4</v>
      </c>
      <c r="G79" s="12">
        <v>3</v>
      </c>
      <c r="H79" s="12">
        <v>4</v>
      </c>
      <c r="I79" s="12">
        <v>4</v>
      </c>
      <c r="J79" s="12">
        <v>2</v>
      </c>
      <c r="K79" s="12">
        <v>2</v>
      </c>
      <c r="L79" s="12">
        <v>4</v>
      </c>
      <c r="M79" s="12">
        <v>4</v>
      </c>
      <c r="N79" s="12">
        <v>4</v>
      </c>
      <c r="O79" s="12">
        <v>3</v>
      </c>
      <c r="P79" s="18">
        <v>0</v>
      </c>
      <c r="Q79" s="12">
        <v>4</v>
      </c>
      <c r="R79" s="12">
        <v>4</v>
      </c>
      <c r="S79" s="19">
        <v>4</v>
      </c>
      <c r="T79" s="12">
        <v>4</v>
      </c>
      <c r="U79" s="12">
        <v>4</v>
      </c>
      <c r="V79" s="12">
        <v>4</v>
      </c>
      <c r="W79" s="12">
        <v>2</v>
      </c>
      <c r="X79" s="12">
        <v>4</v>
      </c>
      <c r="Y79" s="12">
        <v>3</v>
      </c>
      <c r="Z79" s="12">
        <v>4</v>
      </c>
      <c r="AA79" s="12">
        <v>4</v>
      </c>
      <c r="AB79" s="12">
        <v>4</v>
      </c>
      <c r="AC79" s="12">
        <v>4</v>
      </c>
      <c r="AD79" s="12">
        <v>1</v>
      </c>
      <c r="AE79" s="12">
        <v>4</v>
      </c>
      <c r="AF79" s="12">
        <v>4</v>
      </c>
      <c r="AG79" s="12">
        <v>4</v>
      </c>
      <c r="AH79" s="12">
        <v>4</v>
      </c>
      <c r="AI79" s="12">
        <v>4</v>
      </c>
      <c r="AJ79" s="12">
        <v>4</v>
      </c>
      <c r="AK79" s="12">
        <v>3</v>
      </c>
      <c r="AL79" s="12">
        <v>4</v>
      </c>
      <c r="AM79" s="12">
        <v>4</v>
      </c>
      <c r="AN79" s="12">
        <v>4</v>
      </c>
      <c r="AO79" s="12">
        <v>4</v>
      </c>
      <c r="AP79" s="12">
        <v>3</v>
      </c>
      <c r="AQ79" s="12">
        <v>4</v>
      </c>
      <c r="AR79" s="12">
        <v>4</v>
      </c>
      <c r="AS79" s="12">
        <v>4</v>
      </c>
      <c r="AT79" s="12">
        <v>3</v>
      </c>
      <c r="AU79" s="12">
        <v>3</v>
      </c>
      <c r="AV79" s="12">
        <v>4</v>
      </c>
      <c r="AW79" s="12">
        <v>3</v>
      </c>
      <c r="AX79" s="12">
        <v>3</v>
      </c>
      <c r="AY79" s="12">
        <v>3</v>
      </c>
      <c r="AZ79" s="12">
        <v>4</v>
      </c>
      <c r="BA79" s="12">
        <v>4</v>
      </c>
      <c r="BB79" s="12">
        <v>4</v>
      </c>
      <c r="BC79" s="12">
        <v>3</v>
      </c>
      <c r="BD79" s="12">
        <v>2</v>
      </c>
      <c r="BE79" s="12">
        <v>4</v>
      </c>
      <c r="BF79" s="12">
        <v>4</v>
      </c>
      <c r="BG79" s="12">
        <v>3</v>
      </c>
    </row>
    <row r="80" spans="1:59" x14ac:dyDescent="0.25">
      <c r="B80" s="11" t="s">
        <v>125</v>
      </c>
      <c r="C80" s="12">
        <v>1</v>
      </c>
      <c r="D80" s="12">
        <v>4</v>
      </c>
      <c r="E80" s="12">
        <v>4</v>
      </c>
      <c r="F80" s="12">
        <v>4</v>
      </c>
      <c r="G80" s="12">
        <v>4</v>
      </c>
      <c r="H80" s="12">
        <v>4</v>
      </c>
      <c r="I80" s="12">
        <v>4</v>
      </c>
      <c r="J80" s="12">
        <v>3</v>
      </c>
      <c r="K80" s="12">
        <v>3</v>
      </c>
      <c r="L80" s="12">
        <v>4</v>
      </c>
      <c r="M80" s="12">
        <v>3</v>
      </c>
      <c r="N80" s="12">
        <v>4</v>
      </c>
      <c r="O80" s="12">
        <v>4</v>
      </c>
      <c r="P80" s="18">
        <v>0</v>
      </c>
      <c r="Q80" s="12">
        <v>4</v>
      </c>
      <c r="R80" s="12">
        <v>4</v>
      </c>
      <c r="S80" s="19">
        <v>4</v>
      </c>
      <c r="T80" s="12">
        <v>4</v>
      </c>
      <c r="U80" s="12">
        <v>4</v>
      </c>
      <c r="V80" s="12">
        <v>4</v>
      </c>
      <c r="W80" s="12">
        <v>4</v>
      </c>
      <c r="X80" s="12">
        <v>4</v>
      </c>
      <c r="Y80" s="12">
        <v>3</v>
      </c>
      <c r="Z80" s="12">
        <v>4</v>
      </c>
      <c r="AA80" s="12">
        <v>4</v>
      </c>
      <c r="AB80" s="12">
        <v>4</v>
      </c>
      <c r="AC80" s="12">
        <v>2</v>
      </c>
      <c r="AD80" s="12">
        <v>2</v>
      </c>
      <c r="AE80" s="12">
        <v>4</v>
      </c>
      <c r="AF80" s="12">
        <v>4</v>
      </c>
      <c r="AG80" s="12">
        <v>4</v>
      </c>
      <c r="AH80" s="12">
        <v>4</v>
      </c>
      <c r="AI80" s="12">
        <v>3</v>
      </c>
      <c r="AJ80" s="12">
        <v>4</v>
      </c>
      <c r="AK80" s="12">
        <v>3</v>
      </c>
      <c r="AL80" s="12">
        <v>4</v>
      </c>
      <c r="AM80" s="12">
        <v>4</v>
      </c>
      <c r="AN80" s="12">
        <v>4</v>
      </c>
      <c r="AO80" s="12">
        <v>4</v>
      </c>
      <c r="AP80" s="12">
        <v>3</v>
      </c>
      <c r="AQ80" s="12">
        <v>4</v>
      </c>
      <c r="AR80" s="12">
        <v>4</v>
      </c>
      <c r="AS80" s="12">
        <v>4</v>
      </c>
      <c r="AT80" s="12">
        <v>4</v>
      </c>
      <c r="AU80" s="12">
        <v>3</v>
      </c>
      <c r="AV80" s="12">
        <v>4</v>
      </c>
      <c r="AW80" s="12">
        <v>3</v>
      </c>
      <c r="AX80" s="12">
        <v>3</v>
      </c>
      <c r="AY80" s="12">
        <v>4</v>
      </c>
      <c r="AZ80" s="12">
        <v>4</v>
      </c>
      <c r="BA80" s="12">
        <v>4</v>
      </c>
      <c r="BB80" s="12">
        <v>4</v>
      </c>
      <c r="BC80" s="12">
        <v>4</v>
      </c>
      <c r="BD80" s="12">
        <v>3</v>
      </c>
      <c r="BE80" s="12">
        <v>4</v>
      </c>
      <c r="BF80" s="12">
        <v>4</v>
      </c>
      <c r="BG80" s="12">
        <v>3</v>
      </c>
    </row>
    <row r="81" spans="2:59" x14ac:dyDescent="0.25">
      <c r="B81" s="11" t="s">
        <v>126</v>
      </c>
      <c r="C81" s="12">
        <v>1</v>
      </c>
      <c r="D81" s="12">
        <v>3</v>
      </c>
      <c r="E81" s="12">
        <v>4</v>
      </c>
      <c r="F81" s="12">
        <v>4</v>
      </c>
      <c r="G81" s="12">
        <v>4</v>
      </c>
      <c r="H81" s="12">
        <v>4</v>
      </c>
      <c r="I81" s="12">
        <v>4</v>
      </c>
      <c r="J81" s="12">
        <v>2</v>
      </c>
      <c r="K81" s="12">
        <v>3</v>
      </c>
      <c r="L81" s="12">
        <v>4</v>
      </c>
      <c r="M81" s="12">
        <v>4</v>
      </c>
      <c r="N81" s="12">
        <v>4</v>
      </c>
      <c r="O81" s="12">
        <v>3</v>
      </c>
      <c r="P81" s="18">
        <v>0</v>
      </c>
      <c r="Q81" s="12">
        <v>4</v>
      </c>
      <c r="R81" s="12">
        <v>3</v>
      </c>
      <c r="S81" s="19">
        <v>4</v>
      </c>
      <c r="T81" s="12">
        <v>4</v>
      </c>
      <c r="U81" s="12">
        <v>4</v>
      </c>
      <c r="V81" s="12">
        <v>4</v>
      </c>
      <c r="W81" s="12">
        <v>3</v>
      </c>
      <c r="X81" s="12">
        <v>4</v>
      </c>
      <c r="Y81" s="12">
        <v>3</v>
      </c>
      <c r="Z81" s="12">
        <v>4</v>
      </c>
      <c r="AA81" s="12">
        <v>3</v>
      </c>
      <c r="AB81" s="12">
        <v>1</v>
      </c>
      <c r="AC81" s="12">
        <v>2</v>
      </c>
      <c r="AD81" s="12">
        <v>2</v>
      </c>
      <c r="AE81" s="12">
        <v>4</v>
      </c>
      <c r="AF81" s="12">
        <v>3</v>
      </c>
      <c r="AG81" s="12">
        <v>3</v>
      </c>
      <c r="AH81" s="12">
        <v>4</v>
      </c>
      <c r="AI81" s="12">
        <v>4</v>
      </c>
      <c r="AJ81" s="12">
        <v>3</v>
      </c>
      <c r="AK81" s="12">
        <v>4</v>
      </c>
      <c r="AL81" s="12">
        <v>4</v>
      </c>
      <c r="AM81" s="12">
        <v>4</v>
      </c>
      <c r="AN81" s="12">
        <v>4</v>
      </c>
      <c r="AO81" s="12">
        <v>4</v>
      </c>
      <c r="AP81" s="12">
        <v>3</v>
      </c>
      <c r="AQ81" s="12">
        <v>4</v>
      </c>
      <c r="AR81" s="12">
        <v>4</v>
      </c>
      <c r="AS81" s="12">
        <v>4</v>
      </c>
      <c r="AT81" s="12">
        <v>3</v>
      </c>
      <c r="AU81" s="12">
        <v>2</v>
      </c>
      <c r="AV81" s="12">
        <v>4</v>
      </c>
      <c r="AW81" s="12">
        <v>3</v>
      </c>
      <c r="AX81" s="12">
        <v>2</v>
      </c>
      <c r="AY81" s="12">
        <v>2</v>
      </c>
      <c r="AZ81" s="12">
        <v>4</v>
      </c>
      <c r="BA81" s="12">
        <v>4</v>
      </c>
      <c r="BB81" s="12">
        <v>4</v>
      </c>
      <c r="BC81" s="12">
        <v>4</v>
      </c>
      <c r="BD81" s="12">
        <v>1</v>
      </c>
      <c r="BE81" s="12">
        <v>2</v>
      </c>
      <c r="BF81" s="12">
        <v>4</v>
      </c>
      <c r="BG81" s="12">
        <v>3</v>
      </c>
    </row>
    <row r="82" spans="2:59" x14ac:dyDescent="0.25">
      <c r="B82" s="11" t="s">
        <v>127</v>
      </c>
      <c r="C82" s="12">
        <v>1</v>
      </c>
      <c r="D82" s="12">
        <v>4</v>
      </c>
      <c r="E82" s="12">
        <v>3</v>
      </c>
      <c r="F82" s="12">
        <v>4</v>
      </c>
      <c r="G82" s="12">
        <v>4</v>
      </c>
      <c r="H82" s="12">
        <v>3</v>
      </c>
      <c r="I82" s="12">
        <v>4</v>
      </c>
      <c r="J82" s="12">
        <v>3</v>
      </c>
      <c r="K82" s="12">
        <v>2</v>
      </c>
      <c r="L82" s="12">
        <v>4</v>
      </c>
      <c r="M82" s="12">
        <v>4</v>
      </c>
      <c r="N82" s="12">
        <v>3</v>
      </c>
      <c r="O82" s="12">
        <v>3</v>
      </c>
      <c r="P82" s="18">
        <v>0</v>
      </c>
      <c r="Q82" s="12">
        <v>4</v>
      </c>
      <c r="R82" s="12">
        <v>3</v>
      </c>
      <c r="S82" s="19">
        <v>4</v>
      </c>
      <c r="T82" s="12">
        <v>4</v>
      </c>
      <c r="U82" s="12">
        <v>4</v>
      </c>
      <c r="V82" s="12">
        <v>4</v>
      </c>
      <c r="W82" s="12">
        <v>4</v>
      </c>
      <c r="X82" s="12">
        <v>4</v>
      </c>
      <c r="Y82" s="12">
        <v>4</v>
      </c>
      <c r="Z82" s="12">
        <v>4</v>
      </c>
      <c r="AA82" s="12">
        <v>3</v>
      </c>
      <c r="AB82" s="12">
        <v>3</v>
      </c>
      <c r="AC82" s="12">
        <v>3</v>
      </c>
      <c r="AD82" s="12">
        <v>2</v>
      </c>
      <c r="AE82" s="12">
        <v>4</v>
      </c>
      <c r="AF82" s="12">
        <v>3</v>
      </c>
      <c r="AG82" s="12">
        <v>4</v>
      </c>
      <c r="AH82" s="12">
        <v>4</v>
      </c>
      <c r="AI82" s="12">
        <v>4</v>
      </c>
      <c r="AJ82" s="12">
        <v>4</v>
      </c>
      <c r="AK82" s="12">
        <v>4</v>
      </c>
      <c r="AL82" s="12">
        <v>4</v>
      </c>
      <c r="AM82" s="12">
        <v>4</v>
      </c>
      <c r="AN82" s="12">
        <v>3</v>
      </c>
      <c r="AO82" s="12">
        <v>4</v>
      </c>
      <c r="AP82" s="12">
        <v>2</v>
      </c>
      <c r="AQ82" s="12">
        <v>4</v>
      </c>
      <c r="AR82" s="12">
        <v>3</v>
      </c>
      <c r="AS82" s="12">
        <v>4</v>
      </c>
      <c r="AT82" s="12">
        <v>4</v>
      </c>
      <c r="AU82" s="12">
        <v>3</v>
      </c>
      <c r="AV82" s="12">
        <v>4</v>
      </c>
      <c r="AW82" s="12">
        <v>3</v>
      </c>
      <c r="AX82" s="12">
        <v>1</v>
      </c>
      <c r="AY82" s="12">
        <v>4</v>
      </c>
      <c r="AZ82" s="12">
        <v>4</v>
      </c>
      <c r="BA82" s="12">
        <v>3</v>
      </c>
      <c r="BB82" s="12">
        <v>4</v>
      </c>
      <c r="BC82" s="12">
        <v>4</v>
      </c>
      <c r="BD82" s="12">
        <v>3</v>
      </c>
      <c r="BE82" s="12">
        <v>4</v>
      </c>
      <c r="BF82" s="12">
        <v>4</v>
      </c>
      <c r="BG82" s="12">
        <v>3</v>
      </c>
    </row>
    <row r="83" spans="2:59" x14ac:dyDescent="0.25">
      <c r="B83" s="11" t="s">
        <v>128</v>
      </c>
      <c r="C83" s="12">
        <v>2</v>
      </c>
      <c r="D83" s="12">
        <v>4</v>
      </c>
      <c r="E83" s="12">
        <v>3</v>
      </c>
      <c r="F83" s="12">
        <v>4</v>
      </c>
      <c r="G83" s="12">
        <v>4</v>
      </c>
      <c r="H83" s="12">
        <v>4</v>
      </c>
      <c r="I83" s="12">
        <v>4</v>
      </c>
      <c r="J83" s="12">
        <v>3</v>
      </c>
      <c r="K83" s="12">
        <v>2</v>
      </c>
      <c r="L83" s="12">
        <v>4</v>
      </c>
      <c r="M83" s="12">
        <v>4</v>
      </c>
      <c r="N83" s="12">
        <v>3</v>
      </c>
      <c r="O83" s="12">
        <v>4</v>
      </c>
      <c r="P83" s="18">
        <v>0</v>
      </c>
      <c r="Q83" s="12">
        <v>4</v>
      </c>
      <c r="R83" s="12">
        <v>3</v>
      </c>
      <c r="S83" s="19">
        <v>4</v>
      </c>
      <c r="T83" s="12">
        <v>3</v>
      </c>
      <c r="U83" s="12">
        <v>4</v>
      </c>
      <c r="V83" s="12">
        <v>4</v>
      </c>
      <c r="W83" s="12">
        <v>1</v>
      </c>
      <c r="X83" s="12">
        <v>4</v>
      </c>
      <c r="Y83" s="12">
        <v>3</v>
      </c>
      <c r="Z83" s="12">
        <v>4</v>
      </c>
      <c r="AA83" s="12">
        <v>2</v>
      </c>
      <c r="AB83" s="12">
        <v>4</v>
      </c>
      <c r="AC83" s="12">
        <v>3</v>
      </c>
      <c r="AD83" s="12">
        <v>3</v>
      </c>
      <c r="AE83" s="12">
        <v>3</v>
      </c>
      <c r="AF83" s="12">
        <v>3</v>
      </c>
      <c r="AG83" s="12">
        <v>3</v>
      </c>
      <c r="AH83" s="12">
        <v>4</v>
      </c>
      <c r="AI83" s="12">
        <v>4</v>
      </c>
      <c r="AJ83" s="12">
        <v>4</v>
      </c>
      <c r="AK83" s="12">
        <v>3</v>
      </c>
      <c r="AL83" s="12">
        <v>3</v>
      </c>
      <c r="AM83" s="12">
        <v>4</v>
      </c>
      <c r="AN83" s="12">
        <v>4</v>
      </c>
      <c r="AO83" s="12">
        <v>4</v>
      </c>
      <c r="AP83" s="12">
        <v>3</v>
      </c>
      <c r="AQ83" s="12">
        <v>4</v>
      </c>
      <c r="AR83" s="12">
        <v>4</v>
      </c>
      <c r="AS83" s="12">
        <v>4</v>
      </c>
      <c r="AT83" s="12">
        <v>3</v>
      </c>
      <c r="AU83" s="12">
        <v>2</v>
      </c>
      <c r="AV83" s="12">
        <v>4</v>
      </c>
      <c r="AW83" s="12">
        <v>3</v>
      </c>
      <c r="AX83" s="12">
        <v>2</v>
      </c>
      <c r="AY83" s="12">
        <v>3</v>
      </c>
      <c r="AZ83" s="12">
        <v>4</v>
      </c>
      <c r="BA83" s="12">
        <v>4</v>
      </c>
      <c r="BB83" s="12">
        <v>4</v>
      </c>
      <c r="BC83" s="12">
        <v>3</v>
      </c>
      <c r="BD83" s="12">
        <v>2</v>
      </c>
      <c r="BE83" s="12">
        <v>3</v>
      </c>
      <c r="BF83" s="12">
        <v>4</v>
      </c>
      <c r="BG83" s="12">
        <v>3</v>
      </c>
    </row>
    <row r="84" spans="2:59" x14ac:dyDescent="0.25">
      <c r="B84" s="11" t="s">
        <v>129</v>
      </c>
      <c r="C84" s="12">
        <v>1</v>
      </c>
      <c r="D84" s="12">
        <v>4</v>
      </c>
      <c r="E84" s="12">
        <v>3</v>
      </c>
      <c r="F84" s="12">
        <v>4</v>
      </c>
      <c r="G84" s="12">
        <v>4</v>
      </c>
      <c r="H84" s="12">
        <v>3</v>
      </c>
      <c r="I84" s="12">
        <v>4</v>
      </c>
      <c r="J84" s="12">
        <v>2</v>
      </c>
      <c r="K84" s="12">
        <v>2</v>
      </c>
      <c r="L84" s="12">
        <v>4</v>
      </c>
      <c r="M84" s="12">
        <v>4</v>
      </c>
      <c r="N84" s="12">
        <v>4</v>
      </c>
      <c r="O84" s="12">
        <v>3</v>
      </c>
      <c r="P84" s="18">
        <v>0</v>
      </c>
      <c r="Q84" s="12">
        <v>4</v>
      </c>
      <c r="R84" s="12">
        <v>3</v>
      </c>
      <c r="S84" s="19">
        <v>4</v>
      </c>
      <c r="T84" s="12">
        <v>4</v>
      </c>
      <c r="U84" s="12">
        <v>4</v>
      </c>
      <c r="V84" s="12">
        <v>4</v>
      </c>
      <c r="W84" s="12">
        <v>3</v>
      </c>
      <c r="X84" s="12">
        <v>4</v>
      </c>
      <c r="Y84" s="12">
        <v>2</v>
      </c>
      <c r="Z84" s="12">
        <v>4</v>
      </c>
      <c r="AA84" s="12">
        <v>4</v>
      </c>
      <c r="AB84" s="12">
        <v>3</v>
      </c>
      <c r="AC84" s="12">
        <v>3</v>
      </c>
      <c r="AD84" s="12">
        <v>2</v>
      </c>
      <c r="AE84" s="12">
        <v>4</v>
      </c>
      <c r="AF84" s="12">
        <v>3</v>
      </c>
      <c r="AG84" s="12">
        <v>4</v>
      </c>
      <c r="AH84" s="12">
        <v>2</v>
      </c>
      <c r="AI84" s="12">
        <v>4</v>
      </c>
      <c r="AJ84" s="12">
        <v>4</v>
      </c>
      <c r="AK84" s="12">
        <v>3</v>
      </c>
      <c r="AL84" s="12">
        <v>3</v>
      </c>
      <c r="AM84" s="12">
        <v>4</v>
      </c>
      <c r="AN84" s="12">
        <v>4</v>
      </c>
      <c r="AO84" s="12">
        <v>4</v>
      </c>
      <c r="AP84" s="12">
        <v>2</v>
      </c>
      <c r="AQ84" s="12">
        <v>4</v>
      </c>
      <c r="AR84" s="12">
        <v>3</v>
      </c>
      <c r="AS84" s="12">
        <v>4</v>
      </c>
      <c r="AT84" s="12">
        <v>3</v>
      </c>
      <c r="AU84" s="12">
        <v>3</v>
      </c>
      <c r="AV84" s="12">
        <v>4</v>
      </c>
      <c r="AW84" s="12">
        <v>3</v>
      </c>
      <c r="AX84" s="12">
        <v>2</v>
      </c>
      <c r="AY84" s="12">
        <v>3</v>
      </c>
      <c r="AZ84" s="12">
        <v>4</v>
      </c>
      <c r="BA84" s="12">
        <v>4</v>
      </c>
      <c r="BB84" s="12">
        <v>4</v>
      </c>
      <c r="BC84" s="12">
        <v>3</v>
      </c>
      <c r="BD84" s="12">
        <v>2</v>
      </c>
      <c r="BE84" s="12">
        <v>3</v>
      </c>
      <c r="BF84" s="12">
        <v>4</v>
      </c>
      <c r="BG84" s="12">
        <v>2</v>
      </c>
    </row>
    <row r="85" spans="2:59" x14ac:dyDescent="0.25">
      <c r="B85" s="11" t="s">
        <v>130</v>
      </c>
      <c r="C85" s="12">
        <v>3</v>
      </c>
      <c r="D85" s="12">
        <v>2</v>
      </c>
      <c r="E85" s="12">
        <v>2</v>
      </c>
      <c r="F85" s="12">
        <v>4</v>
      </c>
      <c r="G85" s="12">
        <v>4</v>
      </c>
      <c r="H85" s="12">
        <v>4</v>
      </c>
      <c r="I85" s="12">
        <v>4</v>
      </c>
      <c r="J85" s="12">
        <v>3</v>
      </c>
      <c r="K85" s="12">
        <v>2</v>
      </c>
      <c r="L85" s="12">
        <v>4</v>
      </c>
      <c r="M85" s="12">
        <v>3</v>
      </c>
      <c r="N85" s="12">
        <v>4</v>
      </c>
      <c r="O85" s="12">
        <v>3</v>
      </c>
      <c r="P85" s="18">
        <v>0</v>
      </c>
      <c r="Q85" s="12">
        <v>3</v>
      </c>
      <c r="R85" s="12">
        <v>3</v>
      </c>
      <c r="S85" s="19">
        <v>4</v>
      </c>
      <c r="T85" s="12">
        <v>4</v>
      </c>
      <c r="U85" s="12">
        <v>4</v>
      </c>
      <c r="V85" s="12">
        <v>4</v>
      </c>
      <c r="W85" s="12">
        <v>4</v>
      </c>
      <c r="X85" s="12">
        <v>4</v>
      </c>
      <c r="Y85" s="12">
        <v>3</v>
      </c>
      <c r="Z85" s="12">
        <v>1</v>
      </c>
      <c r="AA85" s="12">
        <v>4</v>
      </c>
      <c r="AB85" s="12">
        <v>1</v>
      </c>
      <c r="AC85" s="12">
        <v>1</v>
      </c>
      <c r="AD85" s="12">
        <v>2</v>
      </c>
      <c r="AE85" s="12">
        <v>4</v>
      </c>
      <c r="AF85" s="12">
        <v>3</v>
      </c>
      <c r="AG85" s="12">
        <v>3</v>
      </c>
      <c r="AH85" s="12">
        <v>1</v>
      </c>
      <c r="AI85" s="12">
        <v>3</v>
      </c>
      <c r="AJ85" s="12">
        <v>3</v>
      </c>
      <c r="AK85" s="12">
        <v>2</v>
      </c>
      <c r="AL85" s="12">
        <v>4</v>
      </c>
      <c r="AM85" s="12">
        <v>4</v>
      </c>
      <c r="AN85" s="12">
        <v>4</v>
      </c>
      <c r="AO85" s="12">
        <v>4</v>
      </c>
      <c r="AP85" s="12">
        <v>2</v>
      </c>
      <c r="AQ85" s="12">
        <v>4</v>
      </c>
      <c r="AR85" s="12">
        <v>4</v>
      </c>
      <c r="AS85" s="12">
        <v>4</v>
      </c>
      <c r="AT85" s="12">
        <v>4</v>
      </c>
      <c r="AU85" s="12">
        <v>3</v>
      </c>
      <c r="AV85" s="12">
        <v>4</v>
      </c>
      <c r="AW85" s="12">
        <v>3</v>
      </c>
      <c r="AX85" s="12">
        <v>2</v>
      </c>
      <c r="AY85" s="12">
        <v>2</v>
      </c>
      <c r="AZ85" s="12">
        <v>3</v>
      </c>
      <c r="BA85" s="12">
        <v>2</v>
      </c>
      <c r="BB85" s="12">
        <v>4</v>
      </c>
      <c r="BC85" s="12">
        <v>3</v>
      </c>
      <c r="BD85" s="12">
        <v>3</v>
      </c>
      <c r="BE85" s="12">
        <v>3</v>
      </c>
      <c r="BF85" s="12">
        <v>2</v>
      </c>
      <c r="BG85" s="12">
        <v>2</v>
      </c>
    </row>
    <row r="86" spans="2:59" x14ac:dyDescent="0.25">
      <c r="B86" s="11" t="s">
        <v>131</v>
      </c>
      <c r="C86" s="12">
        <v>4</v>
      </c>
      <c r="D86" s="12">
        <v>4</v>
      </c>
      <c r="E86" s="12">
        <v>3</v>
      </c>
      <c r="F86" s="12">
        <v>4</v>
      </c>
      <c r="G86" s="12">
        <v>4</v>
      </c>
      <c r="H86" s="12">
        <v>4</v>
      </c>
      <c r="I86" s="12">
        <v>4</v>
      </c>
      <c r="J86" s="12">
        <v>3</v>
      </c>
      <c r="K86" s="12">
        <v>2</v>
      </c>
      <c r="L86" s="12">
        <v>4</v>
      </c>
      <c r="M86" s="12">
        <v>4</v>
      </c>
      <c r="N86" s="12">
        <v>4</v>
      </c>
      <c r="O86" s="12">
        <v>3</v>
      </c>
      <c r="P86" s="18">
        <v>0</v>
      </c>
      <c r="Q86" s="12">
        <v>3</v>
      </c>
      <c r="R86" s="12">
        <v>3</v>
      </c>
      <c r="S86" s="19">
        <v>4</v>
      </c>
      <c r="T86" s="12">
        <v>4</v>
      </c>
      <c r="U86" s="12">
        <v>3</v>
      </c>
      <c r="V86" s="12">
        <v>4</v>
      </c>
      <c r="W86" s="12">
        <v>4</v>
      </c>
      <c r="X86" s="12">
        <v>4</v>
      </c>
      <c r="Y86" s="12">
        <v>2</v>
      </c>
      <c r="Z86" s="12">
        <v>4</v>
      </c>
      <c r="AA86" s="12">
        <v>3</v>
      </c>
      <c r="AB86" s="12">
        <v>4</v>
      </c>
      <c r="AC86" s="12">
        <v>1</v>
      </c>
      <c r="AD86" s="12">
        <v>3</v>
      </c>
      <c r="AE86" s="12">
        <v>4</v>
      </c>
      <c r="AF86" s="12">
        <v>3</v>
      </c>
      <c r="AG86" s="12">
        <v>4</v>
      </c>
      <c r="AH86" s="12">
        <v>4</v>
      </c>
      <c r="AI86" s="12">
        <v>4</v>
      </c>
      <c r="AJ86" s="12">
        <v>4</v>
      </c>
      <c r="AK86" s="12">
        <v>3</v>
      </c>
      <c r="AL86" s="12">
        <v>4</v>
      </c>
      <c r="AM86" s="12">
        <v>3</v>
      </c>
      <c r="AN86" s="12">
        <v>4</v>
      </c>
      <c r="AO86" s="12">
        <v>4</v>
      </c>
      <c r="AP86" s="12">
        <v>2</v>
      </c>
      <c r="AQ86" s="12">
        <v>4</v>
      </c>
      <c r="AR86" s="12">
        <v>3</v>
      </c>
      <c r="AS86" s="12">
        <v>3</v>
      </c>
      <c r="AT86" s="12">
        <v>3</v>
      </c>
      <c r="AU86" s="12">
        <v>3</v>
      </c>
      <c r="AV86" s="12">
        <v>4</v>
      </c>
      <c r="AW86" s="12">
        <v>3</v>
      </c>
      <c r="AX86" s="12">
        <v>3</v>
      </c>
      <c r="AY86" s="12">
        <v>4</v>
      </c>
      <c r="AZ86" s="12">
        <v>3</v>
      </c>
      <c r="BA86" s="12">
        <v>3</v>
      </c>
      <c r="BB86" s="12">
        <v>4</v>
      </c>
      <c r="BC86" s="12">
        <v>2</v>
      </c>
      <c r="BD86" s="12">
        <v>3</v>
      </c>
      <c r="BE86" s="12">
        <v>1</v>
      </c>
      <c r="BF86" s="12">
        <v>3</v>
      </c>
      <c r="BG86" s="12">
        <v>3</v>
      </c>
    </row>
    <row r="87" spans="2:59" x14ac:dyDescent="0.25">
      <c r="B87" s="11" t="s">
        <v>132</v>
      </c>
      <c r="C87" s="12">
        <v>0</v>
      </c>
      <c r="D87" s="12">
        <v>1</v>
      </c>
      <c r="E87" s="12">
        <v>1</v>
      </c>
      <c r="F87" s="12">
        <v>4</v>
      </c>
      <c r="G87" s="12">
        <v>4</v>
      </c>
      <c r="H87" s="12">
        <v>2</v>
      </c>
      <c r="I87" s="12">
        <v>4</v>
      </c>
      <c r="J87" s="12">
        <v>3</v>
      </c>
      <c r="K87" s="12">
        <v>2</v>
      </c>
      <c r="L87" s="12">
        <v>4</v>
      </c>
      <c r="M87" s="12">
        <v>4</v>
      </c>
      <c r="N87" s="12">
        <v>4</v>
      </c>
      <c r="O87" s="12">
        <v>2</v>
      </c>
      <c r="P87" s="18">
        <v>0</v>
      </c>
      <c r="Q87" s="12">
        <v>1</v>
      </c>
      <c r="R87" s="12">
        <v>1</v>
      </c>
      <c r="S87" s="19">
        <v>4</v>
      </c>
      <c r="T87" s="12">
        <v>4</v>
      </c>
      <c r="U87" s="12">
        <v>3</v>
      </c>
      <c r="V87" s="12">
        <v>4</v>
      </c>
      <c r="W87" s="12">
        <v>0</v>
      </c>
      <c r="X87" s="12">
        <v>4</v>
      </c>
      <c r="Y87" s="12">
        <v>2</v>
      </c>
      <c r="Z87" s="12">
        <v>0</v>
      </c>
      <c r="AA87" s="12">
        <v>3</v>
      </c>
      <c r="AB87" s="12">
        <v>0</v>
      </c>
      <c r="AC87" s="12">
        <v>3</v>
      </c>
      <c r="AD87" s="12">
        <v>3</v>
      </c>
      <c r="AE87" s="12">
        <v>4</v>
      </c>
      <c r="AF87" s="12">
        <v>3</v>
      </c>
      <c r="AG87" s="12">
        <v>4</v>
      </c>
      <c r="AH87" s="12">
        <v>3</v>
      </c>
      <c r="AI87" s="12">
        <v>3</v>
      </c>
      <c r="AJ87" s="12">
        <v>2</v>
      </c>
      <c r="AK87" s="12">
        <v>1</v>
      </c>
      <c r="AL87" s="12">
        <v>3</v>
      </c>
      <c r="AM87" s="12">
        <v>2</v>
      </c>
      <c r="AN87" s="12">
        <v>4</v>
      </c>
      <c r="AO87" s="12">
        <v>2</v>
      </c>
      <c r="AP87" s="12">
        <v>3</v>
      </c>
      <c r="AQ87" s="12">
        <v>4</v>
      </c>
      <c r="AR87" s="12">
        <v>2</v>
      </c>
      <c r="AS87" s="12">
        <v>2</v>
      </c>
      <c r="AT87" s="12">
        <v>2</v>
      </c>
      <c r="AU87" s="12">
        <v>3</v>
      </c>
      <c r="AV87" s="12">
        <v>2</v>
      </c>
      <c r="AW87" s="12">
        <v>3</v>
      </c>
      <c r="AX87" s="12">
        <v>3</v>
      </c>
      <c r="AY87" s="12">
        <v>2</v>
      </c>
      <c r="AZ87" s="12">
        <v>4</v>
      </c>
      <c r="BA87" s="12">
        <v>0</v>
      </c>
      <c r="BB87" s="12">
        <v>4</v>
      </c>
      <c r="BC87" s="12">
        <v>0</v>
      </c>
      <c r="BD87" s="12">
        <v>2</v>
      </c>
      <c r="BE87" s="12">
        <v>2</v>
      </c>
      <c r="BF87" s="12">
        <v>4</v>
      </c>
      <c r="BG87" s="12">
        <v>1</v>
      </c>
    </row>
    <row r="88" spans="2:59" x14ac:dyDescent="0.25">
      <c r="B88" s="11" t="s">
        <v>133</v>
      </c>
      <c r="C88" s="12">
        <v>0</v>
      </c>
      <c r="D88" s="12">
        <v>4</v>
      </c>
      <c r="E88" s="12">
        <v>1</v>
      </c>
      <c r="F88" s="12">
        <v>2</v>
      </c>
      <c r="G88" s="12">
        <v>4</v>
      </c>
      <c r="H88" s="12">
        <v>2</v>
      </c>
      <c r="I88" s="12">
        <v>4</v>
      </c>
      <c r="J88" s="12">
        <v>3</v>
      </c>
      <c r="K88" s="12">
        <v>2</v>
      </c>
      <c r="L88" s="12">
        <v>4</v>
      </c>
      <c r="M88" s="12">
        <v>1</v>
      </c>
      <c r="N88" s="12">
        <v>3</v>
      </c>
      <c r="O88" s="12">
        <v>2</v>
      </c>
      <c r="P88" s="18">
        <v>0</v>
      </c>
      <c r="Q88" s="12">
        <v>1</v>
      </c>
      <c r="R88" s="12">
        <v>1</v>
      </c>
      <c r="S88" s="19">
        <v>4</v>
      </c>
      <c r="T88" s="12">
        <v>4</v>
      </c>
      <c r="U88" s="12">
        <v>3</v>
      </c>
      <c r="V88" s="12">
        <v>4</v>
      </c>
      <c r="W88" s="12">
        <v>1</v>
      </c>
      <c r="X88" s="12">
        <v>4</v>
      </c>
      <c r="Y88" s="12">
        <v>3</v>
      </c>
      <c r="Z88" s="12">
        <v>0</v>
      </c>
      <c r="AA88" s="12">
        <v>3</v>
      </c>
      <c r="AB88" s="12">
        <v>0</v>
      </c>
      <c r="AC88" s="12">
        <v>3</v>
      </c>
      <c r="AD88" s="12">
        <v>3</v>
      </c>
      <c r="AE88" s="12">
        <v>4</v>
      </c>
      <c r="AF88" s="12">
        <v>3</v>
      </c>
      <c r="AG88" s="12">
        <v>4</v>
      </c>
      <c r="AH88" s="12">
        <v>4</v>
      </c>
      <c r="AI88" s="12">
        <v>3</v>
      </c>
      <c r="AJ88" s="12">
        <v>4</v>
      </c>
      <c r="AK88" s="12">
        <v>2</v>
      </c>
      <c r="AL88" s="12">
        <v>3</v>
      </c>
      <c r="AM88" s="12">
        <v>3</v>
      </c>
      <c r="AN88" s="12">
        <v>3</v>
      </c>
      <c r="AO88" s="12">
        <v>3</v>
      </c>
      <c r="AP88" s="12">
        <v>3</v>
      </c>
      <c r="AQ88" s="12">
        <v>2</v>
      </c>
      <c r="AR88" s="12">
        <v>3</v>
      </c>
      <c r="AS88" s="12">
        <v>3</v>
      </c>
      <c r="AT88" s="12">
        <v>3</v>
      </c>
      <c r="AU88" s="12">
        <v>2</v>
      </c>
      <c r="AV88" s="12">
        <v>2</v>
      </c>
      <c r="AW88" s="12">
        <v>3</v>
      </c>
      <c r="AX88" s="12">
        <v>3</v>
      </c>
      <c r="AY88" s="12">
        <v>3</v>
      </c>
      <c r="AZ88" s="12">
        <v>4</v>
      </c>
      <c r="BA88" s="12">
        <v>0</v>
      </c>
      <c r="BB88" s="12">
        <v>4</v>
      </c>
      <c r="BC88" s="12">
        <v>0</v>
      </c>
      <c r="BD88" s="12">
        <v>2</v>
      </c>
      <c r="BE88" s="12">
        <v>4</v>
      </c>
      <c r="BF88" s="12">
        <v>4</v>
      </c>
      <c r="BG88" s="12">
        <v>3</v>
      </c>
    </row>
    <row r="89" spans="2:59" x14ac:dyDescent="0.25">
      <c r="B89" s="11" t="s">
        <v>134</v>
      </c>
      <c r="C89" s="12">
        <v>0</v>
      </c>
      <c r="D89" s="12">
        <v>4</v>
      </c>
      <c r="E89" s="12">
        <v>1</v>
      </c>
      <c r="F89" s="12">
        <v>2</v>
      </c>
      <c r="G89" s="12">
        <v>2</v>
      </c>
      <c r="H89" s="12">
        <v>2</v>
      </c>
      <c r="I89" s="12">
        <v>4</v>
      </c>
      <c r="J89" s="12">
        <v>4</v>
      </c>
      <c r="K89" s="12">
        <v>3</v>
      </c>
      <c r="L89" s="12">
        <v>4</v>
      </c>
      <c r="M89" s="12">
        <v>1</v>
      </c>
      <c r="N89" s="12">
        <v>1</v>
      </c>
      <c r="O89" s="12">
        <v>2</v>
      </c>
      <c r="P89" s="18">
        <v>0</v>
      </c>
      <c r="Q89" s="12">
        <v>1</v>
      </c>
      <c r="R89" s="12">
        <v>1</v>
      </c>
      <c r="S89" s="19">
        <v>0</v>
      </c>
      <c r="T89" s="12">
        <v>4</v>
      </c>
      <c r="U89" s="12">
        <v>3</v>
      </c>
      <c r="V89" s="12">
        <v>4</v>
      </c>
      <c r="W89" s="12">
        <v>0</v>
      </c>
      <c r="X89" s="12">
        <v>4</v>
      </c>
      <c r="Y89" s="12">
        <v>3</v>
      </c>
      <c r="Z89" s="12">
        <v>0</v>
      </c>
      <c r="AA89" s="12">
        <v>4</v>
      </c>
      <c r="AB89" s="12">
        <v>1</v>
      </c>
      <c r="AC89" s="12">
        <v>3</v>
      </c>
      <c r="AD89" s="12">
        <v>2</v>
      </c>
      <c r="AE89" s="12">
        <v>2</v>
      </c>
      <c r="AF89" s="12">
        <v>3</v>
      </c>
      <c r="AG89" s="12">
        <v>3</v>
      </c>
      <c r="AH89" s="12">
        <v>4</v>
      </c>
      <c r="AI89" s="12">
        <v>3</v>
      </c>
      <c r="AJ89" s="12">
        <v>4</v>
      </c>
      <c r="AK89" s="12">
        <v>3</v>
      </c>
      <c r="AL89" s="12">
        <v>2</v>
      </c>
      <c r="AM89" s="12">
        <v>3</v>
      </c>
      <c r="AN89" s="12">
        <v>4</v>
      </c>
      <c r="AO89" s="12">
        <v>3</v>
      </c>
      <c r="AP89" s="12">
        <v>2</v>
      </c>
      <c r="AQ89" s="12">
        <v>2</v>
      </c>
      <c r="AR89" s="12">
        <v>3</v>
      </c>
      <c r="AS89" s="12">
        <v>3</v>
      </c>
      <c r="AT89" s="12">
        <v>2</v>
      </c>
      <c r="AU89" s="12">
        <v>1</v>
      </c>
      <c r="AV89" s="12">
        <v>2</v>
      </c>
      <c r="AW89" s="12">
        <v>3</v>
      </c>
      <c r="AX89" s="12">
        <v>3</v>
      </c>
      <c r="AY89" s="12">
        <v>3</v>
      </c>
      <c r="AZ89" s="12">
        <v>2</v>
      </c>
      <c r="BA89" s="12">
        <v>3</v>
      </c>
      <c r="BB89" s="12">
        <v>4</v>
      </c>
      <c r="BC89" s="12">
        <v>1</v>
      </c>
      <c r="BD89" s="12">
        <v>2</v>
      </c>
      <c r="BE89" s="12">
        <v>4</v>
      </c>
      <c r="BF89" s="12">
        <v>3</v>
      </c>
      <c r="BG89" s="12">
        <v>3</v>
      </c>
    </row>
    <row r="90" spans="2:59" x14ac:dyDescent="0.25">
      <c r="B90" s="11" t="s">
        <v>135</v>
      </c>
      <c r="C90" s="12">
        <v>0</v>
      </c>
      <c r="D90" s="12">
        <v>4</v>
      </c>
      <c r="E90" s="12">
        <v>1</v>
      </c>
      <c r="F90" s="12">
        <v>2</v>
      </c>
      <c r="G90" s="12">
        <v>1</v>
      </c>
      <c r="H90" s="12">
        <v>2</v>
      </c>
      <c r="I90" s="12">
        <v>4</v>
      </c>
      <c r="J90" s="12">
        <v>4</v>
      </c>
      <c r="K90" s="12">
        <v>2</v>
      </c>
      <c r="L90" s="12">
        <v>4</v>
      </c>
      <c r="M90" s="12">
        <v>3</v>
      </c>
      <c r="N90" s="12">
        <v>1</v>
      </c>
      <c r="O90" s="12">
        <v>2</v>
      </c>
      <c r="P90" s="18">
        <v>0</v>
      </c>
      <c r="Q90" s="12">
        <v>1</v>
      </c>
      <c r="R90" s="12">
        <v>1</v>
      </c>
      <c r="S90" s="19">
        <v>0</v>
      </c>
      <c r="T90" s="12">
        <v>2</v>
      </c>
      <c r="U90" s="12">
        <v>3</v>
      </c>
      <c r="V90" s="12">
        <v>4</v>
      </c>
      <c r="W90" s="12">
        <v>1</v>
      </c>
      <c r="X90" s="12">
        <v>4</v>
      </c>
      <c r="Y90" s="12">
        <v>2</v>
      </c>
      <c r="Z90" s="12">
        <v>0</v>
      </c>
      <c r="AA90" s="12">
        <v>3</v>
      </c>
      <c r="AB90" s="12">
        <v>3</v>
      </c>
      <c r="AC90" s="12">
        <v>3</v>
      </c>
      <c r="AD90" s="12">
        <v>2</v>
      </c>
      <c r="AE90" s="12">
        <v>3</v>
      </c>
      <c r="AF90" s="12">
        <v>3</v>
      </c>
      <c r="AG90" s="12">
        <v>4</v>
      </c>
      <c r="AH90" s="12">
        <v>4</v>
      </c>
      <c r="AI90" s="12">
        <v>2</v>
      </c>
      <c r="AJ90" s="12">
        <v>4</v>
      </c>
      <c r="AK90" s="12">
        <v>2</v>
      </c>
      <c r="AL90" s="12">
        <v>3</v>
      </c>
      <c r="AM90" s="12">
        <v>3</v>
      </c>
      <c r="AN90" s="12">
        <v>4</v>
      </c>
      <c r="AO90" s="12">
        <v>3</v>
      </c>
      <c r="AP90" s="12">
        <v>2</v>
      </c>
      <c r="AQ90" s="12">
        <v>2</v>
      </c>
      <c r="AR90" s="12">
        <v>3</v>
      </c>
      <c r="AS90" s="12">
        <v>3</v>
      </c>
      <c r="AT90" s="12">
        <v>2</v>
      </c>
      <c r="AU90" s="12">
        <v>2</v>
      </c>
      <c r="AV90" s="12">
        <v>3</v>
      </c>
      <c r="AW90" s="12">
        <v>3</v>
      </c>
      <c r="AX90" s="12">
        <v>2</v>
      </c>
      <c r="AY90" s="12">
        <v>2</v>
      </c>
      <c r="AZ90" s="12">
        <v>3</v>
      </c>
      <c r="BA90" s="12">
        <v>3</v>
      </c>
      <c r="BB90" s="12">
        <v>4</v>
      </c>
      <c r="BC90" s="12">
        <v>0</v>
      </c>
      <c r="BD90" s="12">
        <v>1</v>
      </c>
      <c r="BE90" s="12">
        <v>4</v>
      </c>
      <c r="BF90" s="12">
        <v>3</v>
      </c>
      <c r="BG90" s="12">
        <v>3</v>
      </c>
    </row>
    <row r="91" spans="2:59" x14ac:dyDescent="0.25">
      <c r="B91" s="11" t="s">
        <v>136</v>
      </c>
      <c r="C91" s="12">
        <v>0</v>
      </c>
      <c r="D91" s="12">
        <v>4</v>
      </c>
      <c r="E91" s="12">
        <v>1</v>
      </c>
      <c r="F91" s="12">
        <v>4</v>
      </c>
      <c r="G91" s="12">
        <v>2</v>
      </c>
      <c r="H91" s="12">
        <v>3</v>
      </c>
      <c r="I91" s="12">
        <v>4</v>
      </c>
      <c r="J91" s="12">
        <v>4</v>
      </c>
      <c r="K91" s="12">
        <v>2</v>
      </c>
      <c r="L91" s="12">
        <v>4</v>
      </c>
      <c r="M91" s="12">
        <v>3</v>
      </c>
      <c r="N91" s="12">
        <v>3</v>
      </c>
      <c r="O91" s="12">
        <v>2</v>
      </c>
      <c r="P91" s="18">
        <v>0</v>
      </c>
      <c r="Q91" s="12">
        <v>1</v>
      </c>
      <c r="R91" s="12">
        <v>3</v>
      </c>
      <c r="S91" s="19">
        <v>2</v>
      </c>
      <c r="T91" s="12">
        <v>4</v>
      </c>
      <c r="U91" s="12">
        <v>3</v>
      </c>
      <c r="V91" s="12">
        <v>4</v>
      </c>
      <c r="W91" s="12">
        <v>2</v>
      </c>
      <c r="X91" s="12">
        <v>4</v>
      </c>
      <c r="Y91" s="12">
        <v>1</v>
      </c>
      <c r="Z91" s="12">
        <v>2</v>
      </c>
      <c r="AA91" s="12">
        <v>3</v>
      </c>
      <c r="AB91" s="12">
        <v>3</v>
      </c>
      <c r="AC91" s="12">
        <v>2</v>
      </c>
      <c r="AD91" s="12">
        <v>3</v>
      </c>
      <c r="AE91" s="12">
        <v>3</v>
      </c>
      <c r="AF91" s="12">
        <v>3</v>
      </c>
      <c r="AG91" s="12">
        <v>4</v>
      </c>
      <c r="AH91" s="12">
        <v>4</v>
      </c>
      <c r="AI91" s="12">
        <v>4</v>
      </c>
      <c r="AJ91" s="12">
        <v>4</v>
      </c>
      <c r="AK91" s="12">
        <v>4</v>
      </c>
      <c r="AL91" s="12">
        <v>3</v>
      </c>
      <c r="AM91" s="12">
        <v>4</v>
      </c>
      <c r="AN91" s="12">
        <v>4</v>
      </c>
      <c r="AO91" s="12">
        <v>4</v>
      </c>
      <c r="AP91" s="12">
        <v>2</v>
      </c>
      <c r="AQ91" s="12">
        <v>3</v>
      </c>
      <c r="AR91" s="12">
        <v>4</v>
      </c>
      <c r="AS91" s="12">
        <v>3</v>
      </c>
      <c r="AT91" s="12">
        <v>3</v>
      </c>
      <c r="AU91" s="12">
        <v>3</v>
      </c>
      <c r="AV91" s="12">
        <v>3</v>
      </c>
      <c r="AW91" s="12">
        <v>0</v>
      </c>
      <c r="AX91" s="12">
        <v>1</v>
      </c>
      <c r="AY91" s="12">
        <v>2</v>
      </c>
      <c r="AZ91" s="12">
        <v>4</v>
      </c>
      <c r="BA91" s="12">
        <v>4</v>
      </c>
      <c r="BB91" s="12">
        <v>4</v>
      </c>
      <c r="BC91" s="12">
        <v>2</v>
      </c>
      <c r="BD91" s="12">
        <v>2</v>
      </c>
      <c r="BE91" s="12">
        <v>4</v>
      </c>
      <c r="BF91" s="12">
        <v>4</v>
      </c>
      <c r="BG91" s="12">
        <v>3</v>
      </c>
    </row>
    <row r="92" spans="2:59" x14ac:dyDescent="0.25">
      <c r="B92" s="11" t="s">
        <v>137</v>
      </c>
      <c r="C92" s="12">
        <v>0</v>
      </c>
      <c r="D92" s="12">
        <v>2</v>
      </c>
      <c r="E92" s="12">
        <v>0</v>
      </c>
      <c r="F92" s="12">
        <v>2</v>
      </c>
      <c r="G92" s="12">
        <v>1</v>
      </c>
      <c r="H92" s="12">
        <v>3</v>
      </c>
      <c r="I92" s="12">
        <v>3</v>
      </c>
      <c r="J92" s="12">
        <v>3</v>
      </c>
      <c r="K92" s="12">
        <v>1</v>
      </c>
      <c r="L92" s="12">
        <v>2</v>
      </c>
      <c r="M92" s="12">
        <v>1</v>
      </c>
      <c r="N92" s="12">
        <v>1</v>
      </c>
      <c r="O92" s="12">
        <v>1</v>
      </c>
      <c r="P92" s="18">
        <v>0</v>
      </c>
      <c r="Q92" s="12">
        <v>1</v>
      </c>
      <c r="R92" s="12">
        <v>1</v>
      </c>
      <c r="S92" s="19">
        <v>0</v>
      </c>
      <c r="T92" s="12">
        <v>4</v>
      </c>
      <c r="U92" s="12">
        <v>3</v>
      </c>
      <c r="V92" s="12">
        <v>4</v>
      </c>
      <c r="W92" s="12">
        <v>1</v>
      </c>
      <c r="X92" s="12">
        <v>4</v>
      </c>
      <c r="Y92" s="12">
        <v>1</v>
      </c>
      <c r="Z92" s="12">
        <v>2</v>
      </c>
      <c r="AA92" s="12">
        <v>3</v>
      </c>
      <c r="AB92" s="12">
        <v>0</v>
      </c>
      <c r="AC92" s="12">
        <v>1</v>
      </c>
      <c r="AD92" s="12">
        <v>3</v>
      </c>
      <c r="AE92" s="12">
        <v>4</v>
      </c>
      <c r="AF92" s="12">
        <v>2</v>
      </c>
      <c r="AG92" s="12">
        <v>2</v>
      </c>
      <c r="AH92" s="12">
        <v>3</v>
      </c>
      <c r="AI92" s="12">
        <v>2</v>
      </c>
      <c r="AJ92" s="12">
        <v>4</v>
      </c>
      <c r="AK92" s="12">
        <v>3</v>
      </c>
      <c r="AL92" s="12">
        <v>3</v>
      </c>
      <c r="AM92" s="12">
        <v>4</v>
      </c>
      <c r="AN92" s="12">
        <v>3</v>
      </c>
      <c r="AO92" s="12">
        <v>4</v>
      </c>
      <c r="AP92" s="12">
        <v>2</v>
      </c>
      <c r="AQ92" s="12">
        <v>3</v>
      </c>
      <c r="AR92" s="12">
        <v>4</v>
      </c>
      <c r="AS92" s="12">
        <v>3</v>
      </c>
      <c r="AT92" s="12">
        <v>3</v>
      </c>
      <c r="AU92" s="12">
        <v>1</v>
      </c>
      <c r="AV92" s="12">
        <v>3</v>
      </c>
      <c r="AW92" s="12">
        <v>1</v>
      </c>
      <c r="AX92" s="12">
        <v>0</v>
      </c>
      <c r="AY92" s="12">
        <v>2</v>
      </c>
      <c r="AZ92" s="12">
        <v>3</v>
      </c>
      <c r="BA92" s="12">
        <v>3</v>
      </c>
      <c r="BB92" s="12">
        <v>4</v>
      </c>
      <c r="BC92" s="12">
        <v>0</v>
      </c>
      <c r="BD92" s="12">
        <v>1</v>
      </c>
      <c r="BE92" s="12">
        <v>2</v>
      </c>
      <c r="BF92" s="12">
        <v>2</v>
      </c>
      <c r="BG92" s="12">
        <v>2</v>
      </c>
    </row>
    <row r="93" spans="2:59" x14ac:dyDescent="0.25">
      <c r="B93" s="11" t="s">
        <v>138</v>
      </c>
      <c r="C93" s="12">
        <v>3</v>
      </c>
      <c r="D93" s="12">
        <v>3</v>
      </c>
      <c r="E93" s="12">
        <v>1</v>
      </c>
      <c r="F93" s="12">
        <v>4</v>
      </c>
      <c r="G93" s="12">
        <v>3</v>
      </c>
      <c r="H93" s="12">
        <v>3</v>
      </c>
      <c r="I93" s="12">
        <v>4</v>
      </c>
      <c r="J93" s="12">
        <v>3</v>
      </c>
      <c r="K93" s="12">
        <v>3</v>
      </c>
      <c r="L93" s="12">
        <v>4</v>
      </c>
      <c r="M93" s="12">
        <v>4</v>
      </c>
      <c r="N93" s="12">
        <v>3</v>
      </c>
      <c r="O93" s="12">
        <v>3</v>
      </c>
      <c r="P93" s="18">
        <v>0</v>
      </c>
      <c r="Q93" s="12">
        <v>4</v>
      </c>
      <c r="R93" s="12">
        <v>3</v>
      </c>
      <c r="S93" s="19">
        <v>4</v>
      </c>
      <c r="T93" s="12">
        <v>4</v>
      </c>
      <c r="U93" s="12">
        <v>4</v>
      </c>
      <c r="V93" s="12">
        <v>3</v>
      </c>
      <c r="W93" s="12">
        <v>3</v>
      </c>
      <c r="X93" s="12">
        <v>4</v>
      </c>
      <c r="Y93" s="12">
        <v>2</v>
      </c>
      <c r="Z93" s="12">
        <v>4</v>
      </c>
      <c r="AA93" s="12">
        <v>3</v>
      </c>
      <c r="AB93" s="12">
        <v>4</v>
      </c>
      <c r="AC93" s="12">
        <v>2</v>
      </c>
      <c r="AD93" s="12">
        <v>3</v>
      </c>
      <c r="AE93" s="12">
        <v>4</v>
      </c>
      <c r="AF93" s="12">
        <v>3</v>
      </c>
      <c r="AG93" s="12">
        <v>4</v>
      </c>
      <c r="AH93" s="12">
        <v>4</v>
      </c>
      <c r="AI93" s="12">
        <v>4</v>
      </c>
      <c r="AJ93" s="12">
        <v>4</v>
      </c>
      <c r="AK93" s="12">
        <v>4</v>
      </c>
      <c r="AL93" s="12">
        <v>3</v>
      </c>
      <c r="AM93" s="12">
        <v>4</v>
      </c>
      <c r="AN93" s="12">
        <v>4</v>
      </c>
      <c r="AO93" s="12">
        <v>2</v>
      </c>
      <c r="AP93" s="12">
        <v>3</v>
      </c>
      <c r="AQ93" s="12">
        <v>4</v>
      </c>
      <c r="AR93" s="12">
        <v>2</v>
      </c>
      <c r="AS93" s="12">
        <v>4</v>
      </c>
      <c r="AT93" s="12">
        <v>4</v>
      </c>
      <c r="AU93" s="12">
        <v>2</v>
      </c>
      <c r="AV93" s="12">
        <v>3</v>
      </c>
      <c r="AW93" s="12">
        <v>2</v>
      </c>
      <c r="AX93" s="12">
        <v>3</v>
      </c>
      <c r="AY93" s="12">
        <v>4</v>
      </c>
      <c r="AZ93" s="12">
        <v>4</v>
      </c>
      <c r="BA93" s="12">
        <v>2</v>
      </c>
      <c r="BB93" s="12">
        <v>4</v>
      </c>
      <c r="BC93" s="12">
        <v>3</v>
      </c>
      <c r="BD93" s="12">
        <v>3</v>
      </c>
      <c r="BE93" s="12">
        <v>2</v>
      </c>
      <c r="BF93" s="12">
        <v>4</v>
      </c>
      <c r="BG93" s="12">
        <v>2</v>
      </c>
    </row>
    <row r="94" spans="2:59" x14ac:dyDescent="0.25">
      <c r="B94" s="11" t="s">
        <v>139</v>
      </c>
      <c r="C94" s="12">
        <v>3</v>
      </c>
      <c r="D94" s="12">
        <v>4</v>
      </c>
      <c r="E94" s="12">
        <v>4</v>
      </c>
      <c r="F94" s="12">
        <v>4</v>
      </c>
      <c r="G94" s="12">
        <v>3</v>
      </c>
      <c r="H94" s="12">
        <v>4</v>
      </c>
      <c r="I94" s="12">
        <v>4</v>
      </c>
      <c r="J94" s="12">
        <v>3</v>
      </c>
      <c r="K94" s="12">
        <v>2</v>
      </c>
      <c r="L94" s="12">
        <v>3</v>
      </c>
      <c r="M94" s="12">
        <v>4</v>
      </c>
      <c r="N94" s="12">
        <v>1</v>
      </c>
      <c r="O94" s="12">
        <v>3</v>
      </c>
      <c r="P94" s="18">
        <v>0</v>
      </c>
      <c r="Q94" s="12">
        <v>4</v>
      </c>
      <c r="R94" s="12">
        <v>3</v>
      </c>
      <c r="S94" s="19">
        <v>4</v>
      </c>
      <c r="T94" s="12">
        <v>4</v>
      </c>
      <c r="U94" s="12">
        <v>4</v>
      </c>
      <c r="V94" s="12">
        <v>4</v>
      </c>
      <c r="W94" s="12">
        <v>4</v>
      </c>
      <c r="X94" s="12">
        <v>4</v>
      </c>
      <c r="Y94" s="12">
        <v>3</v>
      </c>
      <c r="Z94" s="12">
        <v>4</v>
      </c>
      <c r="AA94" s="12">
        <v>4</v>
      </c>
      <c r="AB94" s="12">
        <v>4</v>
      </c>
      <c r="AC94" s="12">
        <v>2</v>
      </c>
      <c r="AD94" s="12">
        <v>2</v>
      </c>
      <c r="AE94" s="12">
        <v>4</v>
      </c>
      <c r="AF94" s="12">
        <v>3</v>
      </c>
      <c r="AG94" s="12">
        <v>3</v>
      </c>
      <c r="AH94" s="12">
        <v>4</v>
      </c>
      <c r="AI94" s="12">
        <v>4</v>
      </c>
      <c r="AJ94" s="12">
        <v>4</v>
      </c>
      <c r="AK94" s="12">
        <v>4</v>
      </c>
      <c r="AL94" s="12">
        <v>3</v>
      </c>
      <c r="AM94" s="12">
        <v>4</v>
      </c>
      <c r="AN94" s="12">
        <v>4</v>
      </c>
      <c r="AO94" s="12">
        <v>4</v>
      </c>
      <c r="AP94" s="12">
        <v>2</v>
      </c>
      <c r="AQ94" s="12">
        <v>4</v>
      </c>
      <c r="AR94" s="12">
        <v>4</v>
      </c>
      <c r="AS94" s="12">
        <v>3</v>
      </c>
      <c r="AT94" s="12">
        <v>2</v>
      </c>
      <c r="AU94" s="12">
        <v>4</v>
      </c>
      <c r="AV94" s="12">
        <v>4</v>
      </c>
      <c r="AW94" s="12">
        <v>3</v>
      </c>
      <c r="AX94" s="12">
        <v>3</v>
      </c>
      <c r="AY94" s="12">
        <v>4</v>
      </c>
      <c r="AZ94" s="12">
        <v>3</v>
      </c>
      <c r="BA94" s="12">
        <v>3</v>
      </c>
      <c r="BB94" s="12">
        <v>4</v>
      </c>
      <c r="BC94" s="12">
        <v>3</v>
      </c>
      <c r="BD94" s="12">
        <v>3</v>
      </c>
      <c r="BE94" s="12">
        <v>4</v>
      </c>
      <c r="BF94" s="12">
        <v>4</v>
      </c>
      <c r="BG94" s="12">
        <v>3</v>
      </c>
    </row>
    <row r="95" spans="2:59" x14ac:dyDescent="0.25">
      <c r="B95" s="11" t="s">
        <v>140</v>
      </c>
      <c r="C95" s="12">
        <v>1</v>
      </c>
      <c r="D95" s="12">
        <v>4</v>
      </c>
      <c r="E95" s="12">
        <v>4</v>
      </c>
      <c r="F95" s="12">
        <v>4</v>
      </c>
      <c r="G95" s="12">
        <v>4</v>
      </c>
      <c r="H95" s="12">
        <v>4</v>
      </c>
      <c r="I95" s="12">
        <v>2</v>
      </c>
      <c r="J95" s="12">
        <v>3</v>
      </c>
      <c r="K95" s="12">
        <v>3</v>
      </c>
      <c r="L95" s="12">
        <v>3</v>
      </c>
      <c r="M95" s="12">
        <v>4</v>
      </c>
      <c r="N95" s="12">
        <v>1</v>
      </c>
      <c r="O95" s="12">
        <v>3</v>
      </c>
      <c r="P95" s="18">
        <v>0</v>
      </c>
      <c r="Q95" s="12">
        <v>3</v>
      </c>
      <c r="R95" s="12">
        <v>3</v>
      </c>
      <c r="S95" s="19">
        <v>4</v>
      </c>
      <c r="T95" s="12">
        <v>4</v>
      </c>
      <c r="U95" s="12">
        <v>4</v>
      </c>
      <c r="V95" s="12">
        <v>4</v>
      </c>
      <c r="W95" s="12">
        <v>4</v>
      </c>
      <c r="X95" s="12">
        <v>4</v>
      </c>
      <c r="Y95" s="12">
        <v>3</v>
      </c>
      <c r="Z95" s="12">
        <v>4</v>
      </c>
      <c r="AA95" s="12">
        <v>4</v>
      </c>
      <c r="AB95" s="12">
        <v>3</v>
      </c>
      <c r="AC95" s="12">
        <v>3</v>
      </c>
      <c r="AD95" s="12">
        <v>3</v>
      </c>
      <c r="AE95" s="12">
        <v>4</v>
      </c>
      <c r="AF95" s="12">
        <v>3</v>
      </c>
      <c r="AG95" s="12">
        <v>4</v>
      </c>
      <c r="AH95" s="12">
        <v>4</v>
      </c>
      <c r="AI95" s="12">
        <v>4</v>
      </c>
      <c r="AJ95" s="12">
        <v>4</v>
      </c>
      <c r="AK95" s="12">
        <v>3</v>
      </c>
      <c r="AL95" s="12">
        <v>3</v>
      </c>
      <c r="AM95" s="12">
        <v>4</v>
      </c>
      <c r="AN95" s="12">
        <v>4</v>
      </c>
      <c r="AO95" s="12">
        <v>4</v>
      </c>
      <c r="AP95" s="12">
        <v>3</v>
      </c>
      <c r="AQ95" s="12">
        <v>4</v>
      </c>
      <c r="AR95" s="12">
        <v>4</v>
      </c>
      <c r="AS95" s="12">
        <v>4</v>
      </c>
      <c r="AT95" s="12">
        <v>3</v>
      </c>
      <c r="AU95" s="12">
        <v>4</v>
      </c>
      <c r="AV95" s="12">
        <v>3</v>
      </c>
      <c r="AW95" s="12">
        <v>1</v>
      </c>
      <c r="AX95" s="12">
        <v>3</v>
      </c>
      <c r="AY95" s="12">
        <v>4</v>
      </c>
      <c r="AZ95" s="12">
        <v>4</v>
      </c>
      <c r="BA95" s="12">
        <v>3</v>
      </c>
      <c r="BB95" s="12">
        <v>4</v>
      </c>
      <c r="BC95" s="12">
        <v>3</v>
      </c>
      <c r="BD95" s="12">
        <v>3</v>
      </c>
      <c r="BE95" s="12">
        <v>4</v>
      </c>
      <c r="BF95" s="12">
        <v>4</v>
      </c>
      <c r="BG95" s="12">
        <v>3</v>
      </c>
    </row>
    <row r="96" spans="2:59" x14ac:dyDescent="0.25">
      <c r="B96" s="11" t="s">
        <v>141</v>
      </c>
      <c r="C96" s="12">
        <v>1</v>
      </c>
      <c r="D96" s="12">
        <v>4</v>
      </c>
      <c r="E96" s="12">
        <v>4</v>
      </c>
      <c r="F96" s="12">
        <v>4</v>
      </c>
      <c r="G96" s="12">
        <v>4</v>
      </c>
      <c r="H96" s="12">
        <v>4</v>
      </c>
      <c r="I96" s="12">
        <v>3</v>
      </c>
      <c r="J96" s="12">
        <v>3</v>
      </c>
      <c r="K96" s="12">
        <v>3</v>
      </c>
      <c r="L96" s="12">
        <v>3</v>
      </c>
      <c r="M96" s="12">
        <v>3</v>
      </c>
      <c r="N96" s="12">
        <v>3</v>
      </c>
      <c r="O96" s="12">
        <v>3</v>
      </c>
      <c r="P96" s="18">
        <v>0</v>
      </c>
      <c r="Q96" s="12">
        <v>3</v>
      </c>
      <c r="R96" s="12">
        <v>3</v>
      </c>
      <c r="S96" s="19">
        <v>4</v>
      </c>
      <c r="T96" s="12">
        <v>4</v>
      </c>
      <c r="U96" s="12">
        <v>4</v>
      </c>
      <c r="V96" s="12">
        <v>4</v>
      </c>
      <c r="W96" s="12">
        <v>3</v>
      </c>
      <c r="X96" s="12">
        <v>4</v>
      </c>
      <c r="Y96" s="12">
        <v>2</v>
      </c>
      <c r="Z96" s="12">
        <v>4</v>
      </c>
      <c r="AA96" s="12">
        <v>4</v>
      </c>
      <c r="AB96" s="12">
        <v>2</v>
      </c>
      <c r="AC96" s="12">
        <v>3</v>
      </c>
      <c r="AD96" s="12">
        <v>2</v>
      </c>
      <c r="AE96" s="12">
        <v>3</v>
      </c>
      <c r="AF96" s="12">
        <v>3</v>
      </c>
      <c r="AG96" s="12">
        <v>4</v>
      </c>
      <c r="AH96" s="12">
        <v>4</v>
      </c>
      <c r="AI96" s="12">
        <v>4</v>
      </c>
      <c r="AJ96" s="12">
        <v>4</v>
      </c>
      <c r="AK96" s="12">
        <v>3</v>
      </c>
      <c r="AL96" s="12">
        <v>3</v>
      </c>
      <c r="AM96" s="12">
        <v>4</v>
      </c>
      <c r="AN96" s="12">
        <v>4</v>
      </c>
      <c r="AO96" s="12">
        <v>4</v>
      </c>
      <c r="AP96" s="12">
        <v>2</v>
      </c>
      <c r="AQ96" s="12">
        <v>4</v>
      </c>
      <c r="AR96" s="12">
        <v>4</v>
      </c>
      <c r="AS96" s="12">
        <v>3</v>
      </c>
      <c r="AT96" s="12">
        <v>4</v>
      </c>
      <c r="AU96" s="12">
        <v>4</v>
      </c>
      <c r="AV96" s="12">
        <v>3</v>
      </c>
      <c r="AW96" s="12">
        <v>1</v>
      </c>
      <c r="AX96" s="12">
        <v>4</v>
      </c>
      <c r="AY96" s="12">
        <v>4</v>
      </c>
      <c r="AZ96" s="12">
        <v>4</v>
      </c>
      <c r="BA96" s="12">
        <v>3</v>
      </c>
      <c r="BB96" s="12">
        <v>4</v>
      </c>
      <c r="BC96" s="12">
        <v>2</v>
      </c>
      <c r="BD96" s="12">
        <v>2</v>
      </c>
      <c r="BE96" s="12">
        <v>4</v>
      </c>
      <c r="BF96" s="12">
        <v>4</v>
      </c>
      <c r="BG96" s="12">
        <v>2</v>
      </c>
    </row>
    <row r="97" spans="2:59" x14ac:dyDescent="0.25">
      <c r="B97" s="11" t="s">
        <v>142</v>
      </c>
      <c r="C97" s="12">
        <v>1</v>
      </c>
      <c r="D97" s="12">
        <v>3</v>
      </c>
      <c r="E97" s="12">
        <v>2</v>
      </c>
      <c r="F97" s="12">
        <v>4</v>
      </c>
      <c r="G97" s="12">
        <v>4</v>
      </c>
      <c r="H97" s="12">
        <v>4</v>
      </c>
      <c r="I97" s="12">
        <v>2</v>
      </c>
      <c r="J97" s="12">
        <v>3</v>
      </c>
      <c r="K97" s="12">
        <v>2</v>
      </c>
      <c r="L97" s="12">
        <v>4</v>
      </c>
      <c r="M97" s="12">
        <v>3</v>
      </c>
      <c r="N97" s="12">
        <v>3</v>
      </c>
      <c r="O97" s="12">
        <v>2</v>
      </c>
      <c r="P97" s="18">
        <v>0</v>
      </c>
      <c r="Q97" s="12">
        <v>2</v>
      </c>
      <c r="R97" s="12">
        <v>3</v>
      </c>
      <c r="S97" s="19">
        <v>4</v>
      </c>
      <c r="T97" s="12">
        <v>4</v>
      </c>
      <c r="U97" s="12">
        <v>4</v>
      </c>
      <c r="V97" s="12">
        <v>4</v>
      </c>
      <c r="W97" s="12">
        <v>3</v>
      </c>
      <c r="X97" s="12">
        <v>4</v>
      </c>
      <c r="Y97" s="12">
        <v>3</v>
      </c>
      <c r="Z97" s="12">
        <v>4</v>
      </c>
      <c r="AA97" s="12">
        <v>4</v>
      </c>
      <c r="AB97" s="12">
        <v>2</v>
      </c>
      <c r="AC97" s="12">
        <v>3</v>
      </c>
      <c r="AD97" s="12">
        <v>2</v>
      </c>
      <c r="AE97" s="12">
        <v>3</v>
      </c>
      <c r="AF97" s="12">
        <v>3</v>
      </c>
      <c r="AG97" s="12">
        <v>4</v>
      </c>
      <c r="AH97" s="12">
        <v>4</v>
      </c>
      <c r="AI97" s="12">
        <v>4</v>
      </c>
      <c r="AJ97" s="12">
        <v>4</v>
      </c>
      <c r="AK97" s="12">
        <v>4</v>
      </c>
      <c r="AL97" s="12">
        <v>3</v>
      </c>
      <c r="AM97" s="12">
        <v>4</v>
      </c>
      <c r="AN97" s="12">
        <v>3</v>
      </c>
      <c r="AO97" s="12">
        <v>2</v>
      </c>
      <c r="AP97" s="12">
        <v>2</v>
      </c>
      <c r="AQ97" s="12">
        <v>4</v>
      </c>
      <c r="AR97" s="12">
        <v>3</v>
      </c>
      <c r="AS97" s="12">
        <v>4</v>
      </c>
      <c r="AT97" s="12">
        <v>4</v>
      </c>
      <c r="AU97" s="12">
        <v>3</v>
      </c>
      <c r="AV97" s="12">
        <v>2</v>
      </c>
      <c r="AW97" s="12">
        <v>1</v>
      </c>
      <c r="AX97" s="12">
        <v>3</v>
      </c>
      <c r="AY97" s="12">
        <v>4</v>
      </c>
      <c r="AZ97" s="12">
        <v>4</v>
      </c>
      <c r="BA97" s="12">
        <v>2</v>
      </c>
      <c r="BB97" s="12">
        <v>4</v>
      </c>
      <c r="BC97" s="12">
        <v>2</v>
      </c>
      <c r="BD97" s="12">
        <v>3</v>
      </c>
      <c r="BE97" s="12">
        <v>4</v>
      </c>
      <c r="BF97" s="12">
        <v>1</v>
      </c>
      <c r="BG97" s="1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Q92"/>
  <sheetViews>
    <sheetView workbookViewId="0">
      <pane xSplit="1" ySplit="1" topLeftCell="BB62" activePane="bottomRight" state="frozen"/>
      <selection pane="topRight" activeCell="C1" sqref="C1"/>
      <selection pane="bottomLeft" activeCell="A4" sqref="A4"/>
      <selection pane="bottomRight" activeCell="BG1" sqref="BG1:BQ92"/>
    </sheetView>
  </sheetViews>
  <sheetFormatPr defaultColWidth="8.85546875" defaultRowHeight="15" x14ac:dyDescent="0.25"/>
  <cols>
    <col min="2" max="2" width="8.7109375" style="12" bestFit="1" customWidth="1"/>
    <col min="3" max="4" width="10.85546875" style="12" bestFit="1" customWidth="1"/>
    <col min="5" max="6" width="8.85546875" style="12"/>
    <col min="7" max="7" width="10.28515625" style="12" bestFit="1" customWidth="1"/>
    <col min="8" max="14" width="8.85546875" style="12"/>
    <col min="15" max="15" width="10" style="12" bestFit="1" customWidth="1"/>
    <col min="16" max="16" width="9.42578125" style="12" bestFit="1" customWidth="1"/>
    <col min="17" max="19" width="8.85546875" style="12"/>
    <col min="20" max="20" width="9.42578125" style="12" bestFit="1" customWidth="1"/>
    <col min="26" max="27" width="10.28515625" bestFit="1" customWidth="1"/>
    <col min="29" max="29" width="9.42578125" style="12" bestFit="1" customWidth="1"/>
    <col min="30" max="38" width="8.85546875" style="12"/>
    <col min="39" max="39" width="10.140625" style="12" bestFit="1" customWidth="1"/>
    <col min="40" max="43" width="8.85546875" style="12"/>
    <col min="44" max="44" width="10.42578125" style="12" bestFit="1" customWidth="1"/>
    <col min="45" max="45" width="11.140625" style="12" bestFit="1" customWidth="1"/>
    <col min="46" max="46" width="9.28515625" style="12" bestFit="1" customWidth="1"/>
    <col min="47" max="47" width="9.85546875" style="12" bestFit="1" customWidth="1"/>
    <col min="48" max="50" width="8.85546875" style="12"/>
    <col min="51" max="51" width="11" style="12" bestFit="1" customWidth="1"/>
    <col min="52" max="52" width="9.7109375" style="12" bestFit="1" customWidth="1"/>
    <col min="53" max="53" width="10.42578125" style="12" bestFit="1" customWidth="1"/>
    <col min="54" max="54" width="9.42578125" style="12" bestFit="1" customWidth="1"/>
    <col min="55" max="55" width="9.28515625" style="12" bestFit="1" customWidth="1"/>
    <col min="56" max="56" width="9.7109375" style="12" bestFit="1" customWidth="1"/>
    <col min="57" max="58" width="8.85546875" style="12"/>
  </cols>
  <sheetData>
    <row r="1" spans="1:69" s="21" customFormat="1" x14ac:dyDescent="0.25">
      <c r="B1" s="22" t="s">
        <v>113</v>
      </c>
      <c r="C1" s="22" t="s">
        <v>114</v>
      </c>
      <c r="D1" s="22" t="s">
        <v>115</v>
      </c>
      <c r="E1" s="22" t="s">
        <v>116</v>
      </c>
      <c r="F1" s="22" t="s">
        <v>117</v>
      </c>
      <c r="G1" s="22" t="s">
        <v>312</v>
      </c>
      <c r="H1" s="22" t="s">
        <v>313</v>
      </c>
      <c r="I1" s="22" t="s">
        <v>314</v>
      </c>
      <c r="J1" s="22" t="s">
        <v>315</v>
      </c>
      <c r="K1" s="22" t="s">
        <v>316</v>
      </c>
      <c r="L1" s="22" t="s">
        <v>317</v>
      </c>
      <c r="M1" s="22" t="s">
        <v>318</v>
      </c>
      <c r="N1" s="22" t="s">
        <v>319</v>
      </c>
      <c r="O1" s="22" t="s">
        <v>320</v>
      </c>
      <c r="P1" s="22" t="s">
        <v>321</v>
      </c>
      <c r="Q1" s="22" t="s">
        <v>322</v>
      </c>
      <c r="R1" s="22" t="s">
        <v>323</v>
      </c>
      <c r="S1" s="22" t="s">
        <v>324</v>
      </c>
      <c r="T1" s="22" t="s">
        <v>325</v>
      </c>
      <c r="U1" s="22" t="s">
        <v>326</v>
      </c>
      <c r="V1" s="22" t="s">
        <v>327</v>
      </c>
      <c r="W1" s="22" t="s">
        <v>328</v>
      </c>
      <c r="X1" s="22" t="s">
        <v>329</v>
      </c>
      <c r="Y1" s="22" t="s">
        <v>330</v>
      </c>
      <c r="Z1" s="22" t="s">
        <v>331</v>
      </c>
      <c r="AA1" s="22" t="s">
        <v>332</v>
      </c>
      <c r="AB1" s="22" t="s">
        <v>424</v>
      </c>
      <c r="AC1" s="22" t="s">
        <v>333</v>
      </c>
      <c r="AD1" s="22" t="s">
        <v>334</v>
      </c>
      <c r="AE1" s="22" t="s">
        <v>335</v>
      </c>
      <c r="AF1" s="22" t="s">
        <v>336</v>
      </c>
      <c r="AG1" s="22" t="s">
        <v>337</v>
      </c>
      <c r="AH1" s="22" t="s">
        <v>338</v>
      </c>
      <c r="AI1" s="22" t="s">
        <v>339</v>
      </c>
      <c r="AJ1" s="22" t="s">
        <v>340</v>
      </c>
      <c r="AK1" s="22" t="s">
        <v>341</v>
      </c>
      <c r="AL1" s="22" t="s">
        <v>342</v>
      </c>
      <c r="AM1" s="22" t="s">
        <v>343</v>
      </c>
      <c r="AN1" s="22" t="s">
        <v>344</v>
      </c>
      <c r="AO1" s="22" t="s">
        <v>345</v>
      </c>
      <c r="AP1" s="22" t="s">
        <v>346</v>
      </c>
      <c r="AQ1" s="22" t="s">
        <v>347</v>
      </c>
      <c r="AR1" s="22" t="s">
        <v>348</v>
      </c>
      <c r="AS1" s="22" t="s">
        <v>349</v>
      </c>
      <c r="AT1" s="22" t="s">
        <v>350</v>
      </c>
      <c r="AU1" s="22" t="s">
        <v>351</v>
      </c>
      <c r="AV1" s="22" t="s">
        <v>352</v>
      </c>
      <c r="AW1" s="22" t="s">
        <v>353</v>
      </c>
      <c r="AX1" s="22" t="s">
        <v>354</v>
      </c>
      <c r="AY1" s="22" t="s">
        <v>355</v>
      </c>
      <c r="AZ1" s="22" t="s">
        <v>356</v>
      </c>
      <c r="BA1" s="22" t="s">
        <v>357</v>
      </c>
      <c r="BB1" s="22" t="s">
        <v>358</v>
      </c>
      <c r="BC1" s="22" t="s">
        <v>359</v>
      </c>
      <c r="BD1" s="22" t="s">
        <v>360</v>
      </c>
      <c r="BE1" s="22" t="s">
        <v>422</v>
      </c>
      <c r="BF1" s="22" t="s">
        <v>423</v>
      </c>
      <c r="BG1" s="37" t="s">
        <v>455</v>
      </c>
      <c r="BH1" s="37" t="s">
        <v>456</v>
      </c>
      <c r="BI1" s="37" t="s">
        <v>457</v>
      </c>
      <c r="BJ1" s="37" t="s">
        <v>458</v>
      </c>
      <c r="BK1" s="37" t="s">
        <v>459</v>
      </c>
      <c r="BL1" s="37" t="s">
        <v>460</v>
      </c>
      <c r="BM1" s="37" t="s">
        <v>461</v>
      </c>
      <c r="BN1" s="37" t="s">
        <v>462</v>
      </c>
      <c r="BO1" s="37" t="s">
        <v>463</v>
      </c>
      <c r="BP1" s="37" t="s">
        <v>464</v>
      </c>
      <c r="BQ1" s="37" t="s">
        <v>454</v>
      </c>
    </row>
    <row r="2" spans="1:69" x14ac:dyDescent="0.25">
      <c r="A2" t="s">
        <v>162</v>
      </c>
      <c r="B2" s="12">
        <v>57</v>
      </c>
      <c r="C2" s="12">
        <v>29</v>
      </c>
      <c r="D2" s="12">
        <v>32</v>
      </c>
      <c r="E2" s="12">
        <v>49</v>
      </c>
      <c r="F2" s="12">
        <v>50</v>
      </c>
      <c r="G2" s="12">
        <v>20</v>
      </c>
      <c r="H2" s="12">
        <v>23</v>
      </c>
      <c r="I2" s="12">
        <v>35</v>
      </c>
      <c r="J2" s="12">
        <v>40</v>
      </c>
      <c r="K2" s="12">
        <v>34</v>
      </c>
      <c r="L2" s="12">
        <v>30</v>
      </c>
      <c r="M2" s="12">
        <v>42</v>
      </c>
      <c r="N2" s="12">
        <v>18</v>
      </c>
      <c r="O2" s="18">
        <v>23</v>
      </c>
      <c r="P2" s="12">
        <v>29</v>
      </c>
      <c r="Q2" s="12">
        <v>30</v>
      </c>
      <c r="R2" s="12">
        <v>22</v>
      </c>
      <c r="S2" s="12">
        <v>25</v>
      </c>
      <c r="T2" s="12">
        <v>25</v>
      </c>
      <c r="U2" s="12">
        <v>57</v>
      </c>
      <c r="V2" s="12">
        <v>21</v>
      </c>
      <c r="W2" s="12">
        <v>27</v>
      </c>
      <c r="X2" s="12">
        <v>25</v>
      </c>
      <c r="Y2" s="12">
        <v>60</v>
      </c>
      <c r="Z2" s="12">
        <v>21</v>
      </c>
      <c r="AA2" s="12">
        <v>32</v>
      </c>
      <c r="AB2" s="12">
        <v>29</v>
      </c>
      <c r="AC2" s="12">
        <v>25</v>
      </c>
      <c r="AD2" s="12">
        <v>20</v>
      </c>
      <c r="AE2" s="12">
        <v>22</v>
      </c>
      <c r="AF2" s="12">
        <v>64</v>
      </c>
      <c r="AG2" s="12">
        <v>20</v>
      </c>
      <c r="AH2" s="12">
        <v>34</v>
      </c>
      <c r="AI2" s="12">
        <v>51</v>
      </c>
      <c r="AJ2" s="12">
        <v>21</v>
      </c>
      <c r="AK2" s="12">
        <v>38</v>
      </c>
      <c r="AL2" s="12">
        <v>20</v>
      </c>
      <c r="AM2" s="12">
        <v>23</v>
      </c>
      <c r="AN2" s="12">
        <v>22</v>
      </c>
      <c r="AO2" s="12">
        <v>20</v>
      </c>
      <c r="AP2" s="12">
        <v>36</v>
      </c>
      <c r="AQ2" s="12">
        <v>34</v>
      </c>
      <c r="AR2" s="12">
        <v>32</v>
      </c>
      <c r="AS2" s="12">
        <v>33</v>
      </c>
      <c r="AT2" s="12">
        <v>42</v>
      </c>
      <c r="AU2" s="12">
        <v>38</v>
      </c>
      <c r="AV2" s="12">
        <v>24</v>
      </c>
      <c r="AW2" s="12">
        <v>23</v>
      </c>
      <c r="AX2" s="12">
        <v>24</v>
      </c>
      <c r="AY2" s="12">
        <v>20</v>
      </c>
      <c r="AZ2" s="12">
        <v>19</v>
      </c>
      <c r="BA2" s="12">
        <v>35</v>
      </c>
      <c r="BB2" s="12">
        <v>22</v>
      </c>
      <c r="BC2" s="12">
        <v>27</v>
      </c>
      <c r="BD2" s="12">
        <v>31</v>
      </c>
      <c r="BE2" s="12">
        <v>30</v>
      </c>
      <c r="BF2" s="12">
        <v>52</v>
      </c>
      <c r="BG2" s="35">
        <v>22</v>
      </c>
      <c r="BH2" s="35">
        <v>39</v>
      </c>
      <c r="BI2" s="35">
        <v>48</v>
      </c>
      <c r="BJ2" s="35">
        <v>40</v>
      </c>
      <c r="BK2" s="35">
        <v>23</v>
      </c>
      <c r="BL2" s="35">
        <v>29</v>
      </c>
      <c r="BM2" s="35">
        <v>36</v>
      </c>
      <c r="BN2" s="35">
        <v>33</v>
      </c>
      <c r="BO2" s="35">
        <v>68</v>
      </c>
      <c r="BP2" s="38">
        <v>47</v>
      </c>
      <c r="BQ2" s="38">
        <v>48</v>
      </c>
    </row>
    <row r="3" spans="1:69" x14ac:dyDescent="0.25">
      <c r="A3" t="s">
        <v>163</v>
      </c>
      <c r="B3" s="12">
        <v>1</v>
      </c>
      <c r="C3" s="12">
        <v>0</v>
      </c>
      <c r="D3" s="12">
        <v>1</v>
      </c>
      <c r="E3" s="12">
        <v>0</v>
      </c>
      <c r="F3" s="12">
        <v>0</v>
      </c>
      <c r="G3" s="12">
        <v>0</v>
      </c>
      <c r="H3" s="12">
        <v>1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8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1</v>
      </c>
      <c r="AE3" s="12">
        <v>0</v>
      </c>
      <c r="AF3" s="12">
        <v>0</v>
      </c>
      <c r="AG3" s="12">
        <v>0</v>
      </c>
      <c r="AH3" s="12">
        <v>1</v>
      </c>
      <c r="AI3" s="12">
        <v>1</v>
      </c>
      <c r="AJ3" s="12">
        <v>0</v>
      </c>
      <c r="AK3" s="12">
        <v>1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R3" s="12">
        <v>1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12">
        <v>1</v>
      </c>
      <c r="BA3" s="12">
        <v>0</v>
      </c>
      <c r="BB3" s="12">
        <v>0</v>
      </c>
      <c r="BC3" s="12">
        <v>0</v>
      </c>
      <c r="BD3" s="12">
        <v>0</v>
      </c>
      <c r="BE3" s="12">
        <v>1</v>
      </c>
      <c r="BF3" s="12">
        <v>1</v>
      </c>
      <c r="BG3" s="35">
        <v>0</v>
      </c>
      <c r="BH3" s="35">
        <v>0</v>
      </c>
      <c r="BI3" s="35">
        <v>1</v>
      </c>
      <c r="BJ3" s="35">
        <v>1</v>
      </c>
      <c r="BK3" s="35">
        <v>0</v>
      </c>
      <c r="BL3" s="35">
        <v>0</v>
      </c>
      <c r="BM3" s="35">
        <v>0</v>
      </c>
      <c r="BN3" s="35">
        <v>1</v>
      </c>
      <c r="BO3" s="35">
        <v>1</v>
      </c>
      <c r="BP3" s="38">
        <v>1</v>
      </c>
      <c r="BQ3" s="38">
        <v>1</v>
      </c>
    </row>
    <row r="4" spans="1:69" x14ac:dyDescent="0.25">
      <c r="A4" t="s">
        <v>164</v>
      </c>
      <c r="B4" s="12">
        <v>0</v>
      </c>
      <c r="C4" s="12">
        <v>0</v>
      </c>
      <c r="D4" s="12">
        <v>0</v>
      </c>
      <c r="E4" s="12">
        <v>1</v>
      </c>
      <c r="F4" s="12">
        <v>0</v>
      </c>
      <c r="G4" s="12">
        <v>1</v>
      </c>
      <c r="H4" s="12">
        <v>1</v>
      </c>
      <c r="I4" s="12">
        <v>1</v>
      </c>
      <c r="J4" s="12">
        <v>1</v>
      </c>
      <c r="K4" s="12">
        <v>1</v>
      </c>
      <c r="L4" s="12">
        <v>1</v>
      </c>
      <c r="M4" s="12">
        <v>0</v>
      </c>
      <c r="N4" s="12">
        <v>0</v>
      </c>
      <c r="O4" s="18">
        <v>1</v>
      </c>
      <c r="P4" s="12">
        <v>0</v>
      </c>
      <c r="Q4" s="12">
        <v>1</v>
      </c>
      <c r="R4" s="12">
        <v>1</v>
      </c>
      <c r="S4" s="12">
        <v>1</v>
      </c>
      <c r="T4" s="12">
        <v>1</v>
      </c>
      <c r="U4" s="12">
        <v>0</v>
      </c>
      <c r="V4" s="12">
        <v>1</v>
      </c>
      <c r="W4" s="12">
        <v>1</v>
      </c>
      <c r="X4" s="12">
        <v>1</v>
      </c>
      <c r="Y4" s="12">
        <v>0</v>
      </c>
      <c r="Z4" s="12">
        <v>1</v>
      </c>
      <c r="AA4" s="12">
        <v>1</v>
      </c>
      <c r="AB4" s="12">
        <v>1</v>
      </c>
      <c r="AC4" s="12">
        <v>1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1</v>
      </c>
      <c r="AK4" s="12">
        <v>1</v>
      </c>
      <c r="AL4" s="12">
        <v>1</v>
      </c>
      <c r="AM4" s="12">
        <v>1</v>
      </c>
      <c r="AN4" s="12">
        <v>0</v>
      </c>
      <c r="AO4" s="12">
        <v>1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1</v>
      </c>
      <c r="AW4" s="12">
        <v>1</v>
      </c>
      <c r="AX4" s="12">
        <v>1</v>
      </c>
      <c r="AY4" s="12">
        <v>1</v>
      </c>
      <c r="AZ4" s="12">
        <v>0</v>
      </c>
      <c r="BA4" s="12">
        <v>1</v>
      </c>
      <c r="BB4" s="12">
        <v>0</v>
      </c>
      <c r="BC4" s="12">
        <v>1</v>
      </c>
      <c r="BD4" s="12">
        <v>0</v>
      </c>
      <c r="BE4" s="12">
        <v>0</v>
      </c>
      <c r="BF4" s="12">
        <v>0</v>
      </c>
      <c r="BG4" s="35">
        <v>1</v>
      </c>
      <c r="BH4" s="35">
        <v>1</v>
      </c>
      <c r="BI4" s="35">
        <v>0</v>
      </c>
      <c r="BJ4" s="35">
        <v>0</v>
      </c>
      <c r="BK4" s="35">
        <v>1</v>
      </c>
      <c r="BL4" s="35">
        <v>1</v>
      </c>
      <c r="BM4" s="35">
        <v>1</v>
      </c>
      <c r="BN4" s="35">
        <v>0</v>
      </c>
      <c r="BO4" s="35">
        <v>0</v>
      </c>
      <c r="BP4" s="38">
        <v>0</v>
      </c>
      <c r="BQ4" s="38">
        <v>0</v>
      </c>
    </row>
    <row r="5" spans="1:69" x14ac:dyDescent="0.25">
      <c r="A5" t="s">
        <v>165</v>
      </c>
      <c r="B5" s="12">
        <v>0</v>
      </c>
      <c r="C5" s="12">
        <v>1</v>
      </c>
      <c r="D5" s="12">
        <v>0</v>
      </c>
      <c r="E5" s="12">
        <v>1</v>
      </c>
      <c r="F5" s="12">
        <v>0</v>
      </c>
      <c r="G5" s="12">
        <v>0</v>
      </c>
      <c r="H5" s="12">
        <v>1</v>
      </c>
      <c r="I5" s="12">
        <v>0</v>
      </c>
      <c r="J5" s="12">
        <v>1</v>
      </c>
      <c r="K5" s="12">
        <v>1</v>
      </c>
      <c r="L5" s="12">
        <v>1</v>
      </c>
      <c r="M5" s="12">
        <v>1</v>
      </c>
      <c r="N5" s="12">
        <v>0</v>
      </c>
      <c r="O5" s="18">
        <v>0</v>
      </c>
      <c r="P5" s="12">
        <v>1</v>
      </c>
      <c r="Q5" s="12">
        <v>0</v>
      </c>
      <c r="R5" s="12">
        <v>0</v>
      </c>
      <c r="S5" s="12">
        <v>1</v>
      </c>
      <c r="T5" s="12">
        <v>1</v>
      </c>
      <c r="U5" s="12">
        <v>0</v>
      </c>
      <c r="V5" s="12">
        <v>1</v>
      </c>
      <c r="W5" s="12">
        <v>1</v>
      </c>
      <c r="X5" s="12">
        <v>1</v>
      </c>
      <c r="Y5" s="12">
        <v>1</v>
      </c>
      <c r="Z5" s="12">
        <v>1</v>
      </c>
      <c r="AA5" s="12">
        <v>0</v>
      </c>
      <c r="AB5" s="12">
        <v>1</v>
      </c>
      <c r="AC5" s="12">
        <v>1</v>
      </c>
      <c r="AD5" s="12">
        <v>0</v>
      </c>
      <c r="AE5" s="12">
        <v>1</v>
      </c>
      <c r="AF5" s="12">
        <v>1</v>
      </c>
      <c r="AG5" s="12">
        <v>0</v>
      </c>
      <c r="AH5" s="12">
        <v>1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1</v>
      </c>
      <c r="AP5" s="12">
        <v>1</v>
      </c>
      <c r="AQ5" s="12">
        <v>1</v>
      </c>
      <c r="AR5" s="12">
        <v>0</v>
      </c>
      <c r="AS5" s="12">
        <v>1</v>
      </c>
      <c r="AT5" s="12">
        <v>1</v>
      </c>
      <c r="AU5" s="12">
        <v>1</v>
      </c>
      <c r="AV5" s="12">
        <v>1</v>
      </c>
      <c r="AW5" s="12">
        <v>0</v>
      </c>
      <c r="AX5" s="12">
        <v>0</v>
      </c>
      <c r="AY5" s="12">
        <v>0</v>
      </c>
      <c r="AZ5" s="12">
        <v>1</v>
      </c>
      <c r="BA5" s="12">
        <v>1</v>
      </c>
      <c r="BB5" s="12">
        <v>1</v>
      </c>
      <c r="BC5" s="12">
        <v>0</v>
      </c>
      <c r="BD5" s="12">
        <v>0</v>
      </c>
      <c r="BE5" s="12">
        <v>1</v>
      </c>
      <c r="BF5" s="12">
        <v>1</v>
      </c>
      <c r="BG5" s="35">
        <v>1</v>
      </c>
      <c r="BH5" s="35">
        <v>0</v>
      </c>
      <c r="BI5" s="35">
        <v>0</v>
      </c>
      <c r="BJ5" s="35">
        <v>1</v>
      </c>
      <c r="BK5" s="35">
        <v>0</v>
      </c>
      <c r="BL5" s="35">
        <v>0</v>
      </c>
      <c r="BM5" s="35">
        <v>0</v>
      </c>
      <c r="BN5" s="35">
        <v>0</v>
      </c>
      <c r="BO5" s="35">
        <v>1</v>
      </c>
      <c r="BP5" s="38">
        <v>1</v>
      </c>
      <c r="BQ5" s="38">
        <v>1</v>
      </c>
    </row>
    <row r="6" spans="1:69" x14ac:dyDescent="0.25">
      <c r="A6" t="s">
        <v>182</v>
      </c>
      <c r="B6" s="12">
        <v>2</v>
      </c>
      <c r="C6" s="12">
        <v>1</v>
      </c>
      <c r="D6" s="12">
        <v>1</v>
      </c>
      <c r="E6" s="12">
        <v>2</v>
      </c>
      <c r="F6" s="12">
        <v>2</v>
      </c>
      <c r="G6" s="12">
        <v>1</v>
      </c>
      <c r="H6" s="12">
        <v>1</v>
      </c>
      <c r="I6" s="12">
        <v>2</v>
      </c>
      <c r="J6" s="12">
        <v>2</v>
      </c>
      <c r="K6" s="12">
        <v>2</v>
      </c>
      <c r="L6" s="12">
        <v>2</v>
      </c>
      <c r="M6" s="12">
        <v>1</v>
      </c>
      <c r="N6" s="12">
        <v>1</v>
      </c>
      <c r="O6" s="18">
        <v>1</v>
      </c>
      <c r="P6" s="12">
        <v>1</v>
      </c>
      <c r="Q6" s="12">
        <v>1</v>
      </c>
      <c r="R6" s="12">
        <v>2</v>
      </c>
      <c r="S6" s="12">
        <v>2</v>
      </c>
      <c r="T6" s="12">
        <v>2</v>
      </c>
      <c r="U6" s="12">
        <v>1</v>
      </c>
      <c r="V6" s="12">
        <v>1</v>
      </c>
      <c r="W6" s="12">
        <v>2</v>
      </c>
      <c r="X6" s="12">
        <v>2</v>
      </c>
      <c r="Y6" s="12">
        <v>2</v>
      </c>
      <c r="Z6" s="12">
        <v>1</v>
      </c>
      <c r="AA6" s="12">
        <v>2</v>
      </c>
      <c r="AB6" s="12">
        <v>3</v>
      </c>
      <c r="AC6" s="12">
        <v>2</v>
      </c>
      <c r="AD6" s="12">
        <v>1</v>
      </c>
      <c r="AE6" s="12">
        <v>1</v>
      </c>
      <c r="AF6" s="12">
        <v>0</v>
      </c>
      <c r="AG6" s="12">
        <v>1</v>
      </c>
      <c r="AH6" s="12">
        <v>2</v>
      </c>
      <c r="AI6" s="12">
        <v>1</v>
      </c>
      <c r="AJ6" s="12">
        <v>1</v>
      </c>
      <c r="AK6" s="12">
        <v>0</v>
      </c>
      <c r="AL6" s="12">
        <v>1</v>
      </c>
      <c r="AM6" s="12">
        <v>1</v>
      </c>
      <c r="AN6" s="12">
        <v>1</v>
      </c>
      <c r="AO6" s="12">
        <v>1</v>
      </c>
      <c r="AP6" s="12">
        <v>2</v>
      </c>
      <c r="AQ6" s="12">
        <v>1</v>
      </c>
      <c r="AR6" s="12">
        <v>1</v>
      </c>
      <c r="AS6" s="12">
        <v>1</v>
      </c>
      <c r="AT6" s="12">
        <v>1</v>
      </c>
      <c r="AU6" s="12">
        <v>1</v>
      </c>
      <c r="AV6" s="12">
        <v>2</v>
      </c>
      <c r="AW6" s="12">
        <v>2</v>
      </c>
      <c r="AX6" s="12">
        <v>2</v>
      </c>
      <c r="AY6" s="12">
        <v>1</v>
      </c>
      <c r="AZ6" s="12">
        <v>1</v>
      </c>
      <c r="BA6" s="12">
        <v>2</v>
      </c>
      <c r="BB6" s="12">
        <v>1</v>
      </c>
      <c r="BC6" s="12">
        <v>2</v>
      </c>
      <c r="BD6" s="12">
        <v>4</v>
      </c>
      <c r="BE6" s="12">
        <v>3</v>
      </c>
      <c r="BF6" s="12">
        <v>3</v>
      </c>
      <c r="BG6" s="35">
        <v>1</v>
      </c>
      <c r="BH6" s="35">
        <v>3</v>
      </c>
      <c r="BI6" s="35">
        <v>1</v>
      </c>
      <c r="BJ6" s="35">
        <v>1</v>
      </c>
      <c r="BK6" s="35">
        <v>3</v>
      </c>
      <c r="BL6" s="35">
        <v>3</v>
      </c>
      <c r="BM6" s="35">
        <v>3</v>
      </c>
      <c r="BN6" s="35">
        <v>3</v>
      </c>
      <c r="BO6" s="35">
        <v>1</v>
      </c>
      <c r="BP6" s="38">
        <v>3</v>
      </c>
      <c r="BQ6" s="38">
        <v>3</v>
      </c>
    </row>
    <row r="7" spans="1:69" x14ac:dyDescent="0.25">
      <c r="A7" t="s">
        <v>183</v>
      </c>
      <c r="B7" s="12">
        <v>0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  <c r="I7" s="12">
        <v>0</v>
      </c>
      <c r="J7" s="12">
        <v>1</v>
      </c>
      <c r="K7" s="12">
        <v>1</v>
      </c>
      <c r="L7" s="12">
        <v>1</v>
      </c>
      <c r="M7" s="12">
        <v>1</v>
      </c>
      <c r="N7" s="12">
        <v>0</v>
      </c>
      <c r="O7" s="18">
        <v>1</v>
      </c>
      <c r="P7" s="12">
        <v>1</v>
      </c>
      <c r="Q7" s="12">
        <v>1</v>
      </c>
      <c r="R7" s="12">
        <v>0</v>
      </c>
      <c r="S7" s="12">
        <v>1</v>
      </c>
      <c r="T7" s="12">
        <v>1</v>
      </c>
      <c r="U7" s="12">
        <v>1</v>
      </c>
      <c r="V7" s="12">
        <v>0</v>
      </c>
      <c r="W7" s="12">
        <v>1</v>
      </c>
      <c r="X7" s="12">
        <v>4</v>
      </c>
      <c r="Y7" s="12">
        <v>6</v>
      </c>
      <c r="Z7" s="12">
        <v>1</v>
      </c>
      <c r="AA7" s="12">
        <v>1</v>
      </c>
      <c r="AB7" s="12">
        <v>1</v>
      </c>
      <c r="AC7" s="12">
        <v>1</v>
      </c>
      <c r="AD7" s="12">
        <v>1</v>
      </c>
      <c r="AE7" s="12">
        <v>5</v>
      </c>
      <c r="AF7" s="12">
        <v>0</v>
      </c>
      <c r="AG7" s="12">
        <v>6</v>
      </c>
      <c r="AH7" s="12">
        <v>0</v>
      </c>
      <c r="AI7" s="12">
        <v>0</v>
      </c>
      <c r="AJ7" s="12">
        <v>0</v>
      </c>
      <c r="AK7" s="12">
        <v>5</v>
      </c>
      <c r="AL7" s="12">
        <v>1</v>
      </c>
      <c r="AM7" s="12">
        <v>1</v>
      </c>
      <c r="AN7" s="12">
        <v>0</v>
      </c>
      <c r="AO7" s="12">
        <v>0</v>
      </c>
      <c r="AP7" s="12">
        <v>0</v>
      </c>
      <c r="AQ7" s="12">
        <v>1</v>
      </c>
      <c r="AR7" s="12">
        <v>1</v>
      </c>
      <c r="AS7" s="12">
        <v>5</v>
      </c>
      <c r="AT7" s="12">
        <v>6</v>
      </c>
      <c r="AU7" s="12">
        <v>1</v>
      </c>
      <c r="AV7" s="12">
        <v>1</v>
      </c>
      <c r="AW7" s="12">
        <v>6</v>
      </c>
      <c r="AX7" s="12">
        <v>4</v>
      </c>
      <c r="AY7" s="12">
        <v>1</v>
      </c>
      <c r="AZ7" s="12">
        <v>1</v>
      </c>
      <c r="BA7" s="12">
        <v>1</v>
      </c>
      <c r="BB7" s="12">
        <v>0</v>
      </c>
      <c r="BC7" s="12">
        <v>1</v>
      </c>
      <c r="BD7" s="12">
        <v>2</v>
      </c>
      <c r="BE7" s="12">
        <v>1</v>
      </c>
      <c r="BF7" s="12">
        <v>1</v>
      </c>
      <c r="BG7" s="35">
        <v>1</v>
      </c>
      <c r="BH7" s="35">
        <v>6</v>
      </c>
      <c r="BI7" s="35">
        <v>0</v>
      </c>
      <c r="BJ7" s="35">
        <v>5</v>
      </c>
      <c r="BK7" s="35">
        <v>6</v>
      </c>
      <c r="BL7" s="35">
        <v>0</v>
      </c>
      <c r="BM7" s="35">
        <v>0</v>
      </c>
      <c r="BN7" s="35">
        <v>0</v>
      </c>
      <c r="BO7" s="35">
        <v>4</v>
      </c>
      <c r="BP7" s="38">
        <v>0</v>
      </c>
      <c r="BQ7" s="38">
        <v>0</v>
      </c>
    </row>
    <row r="8" spans="1:69" x14ac:dyDescent="0.25">
      <c r="A8" t="s">
        <v>189</v>
      </c>
      <c r="B8" s="12">
        <v>1</v>
      </c>
      <c r="C8" s="12">
        <v>0</v>
      </c>
      <c r="D8" s="12">
        <v>0</v>
      </c>
      <c r="E8" s="12">
        <v>1</v>
      </c>
      <c r="F8" s="12">
        <v>0</v>
      </c>
      <c r="G8" s="12">
        <v>0</v>
      </c>
      <c r="H8" s="12">
        <v>1</v>
      </c>
      <c r="I8" s="12">
        <v>0</v>
      </c>
      <c r="J8" s="12">
        <v>0</v>
      </c>
      <c r="K8" s="12">
        <v>0</v>
      </c>
      <c r="L8" s="12">
        <v>1</v>
      </c>
      <c r="M8" s="12">
        <v>0</v>
      </c>
      <c r="N8" s="12">
        <v>0</v>
      </c>
      <c r="O8" s="18">
        <v>0</v>
      </c>
      <c r="P8" s="12">
        <v>1</v>
      </c>
      <c r="Q8" s="12">
        <v>1</v>
      </c>
      <c r="R8" s="12">
        <v>1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1</v>
      </c>
      <c r="Y8" s="12">
        <v>1</v>
      </c>
      <c r="Z8" s="12">
        <v>0</v>
      </c>
      <c r="AA8" s="12">
        <v>1</v>
      </c>
      <c r="AB8" s="12">
        <v>0</v>
      </c>
      <c r="AC8" s="12">
        <v>0</v>
      </c>
      <c r="AD8" s="12">
        <v>1</v>
      </c>
      <c r="AE8" s="12">
        <v>0</v>
      </c>
      <c r="AF8" s="12">
        <v>1</v>
      </c>
      <c r="AG8" s="12">
        <v>1</v>
      </c>
      <c r="AH8" s="12">
        <v>1</v>
      </c>
      <c r="AI8" s="12">
        <v>1</v>
      </c>
      <c r="AJ8" s="12">
        <v>0</v>
      </c>
      <c r="AK8" s="12">
        <v>1</v>
      </c>
      <c r="AL8" s="12">
        <v>0</v>
      </c>
      <c r="AM8" s="12">
        <v>0</v>
      </c>
      <c r="AN8" s="12">
        <v>0</v>
      </c>
      <c r="AO8" s="12">
        <v>1</v>
      </c>
      <c r="AP8" s="12">
        <v>0</v>
      </c>
      <c r="AQ8" s="12">
        <v>0</v>
      </c>
      <c r="AR8" s="12">
        <v>1</v>
      </c>
      <c r="AS8" s="12">
        <v>1</v>
      </c>
      <c r="AT8" s="12">
        <v>0</v>
      </c>
      <c r="AU8" s="12">
        <v>0</v>
      </c>
      <c r="AV8" s="12">
        <v>0</v>
      </c>
      <c r="AW8" s="12">
        <v>1</v>
      </c>
      <c r="AX8" s="12">
        <v>0</v>
      </c>
      <c r="AY8" s="12">
        <v>1</v>
      </c>
      <c r="AZ8" s="12">
        <v>0</v>
      </c>
      <c r="BA8" s="12">
        <v>0</v>
      </c>
      <c r="BB8" s="12">
        <v>1</v>
      </c>
      <c r="BC8" s="12">
        <v>0</v>
      </c>
      <c r="BD8" s="12">
        <v>0</v>
      </c>
      <c r="BE8" s="12">
        <v>0</v>
      </c>
      <c r="BF8" s="12">
        <v>1</v>
      </c>
      <c r="BG8" s="35">
        <v>0</v>
      </c>
      <c r="BH8" s="35">
        <v>1</v>
      </c>
      <c r="BI8" s="35">
        <v>0</v>
      </c>
      <c r="BJ8" s="35">
        <v>1</v>
      </c>
      <c r="BK8" s="35">
        <v>1</v>
      </c>
      <c r="BL8" s="35">
        <v>0</v>
      </c>
      <c r="BM8" s="35">
        <v>1</v>
      </c>
      <c r="BN8" s="35">
        <v>1</v>
      </c>
      <c r="BO8" s="35">
        <v>0</v>
      </c>
      <c r="BP8" s="38">
        <v>1</v>
      </c>
      <c r="BQ8" s="38">
        <v>1</v>
      </c>
    </row>
    <row r="9" spans="1:69" x14ac:dyDescent="0.25">
      <c r="A9" t="s">
        <v>194</v>
      </c>
      <c r="C9" s="12">
        <v>0</v>
      </c>
      <c r="D9" s="12">
        <v>1</v>
      </c>
      <c r="F9" s="12">
        <v>0</v>
      </c>
      <c r="G9" s="12">
        <v>2</v>
      </c>
      <c r="I9" s="12">
        <v>1</v>
      </c>
      <c r="J9" s="12">
        <v>1</v>
      </c>
      <c r="K9" s="12">
        <v>1</v>
      </c>
      <c r="M9" s="12">
        <v>0</v>
      </c>
      <c r="N9" s="12">
        <v>1</v>
      </c>
      <c r="O9" s="18">
        <v>0</v>
      </c>
      <c r="S9" s="12">
        <v>1</v>
      </c>
      <c r="T9" s="12">
        <v>0</v>
      </c>
      <c r="U9" s="12">
        <v>2</v>
      </c>
      <c r="V9" s="12">
        <v>1</v>
      </c>
      <c r="W9" s="12">
        <v>0</v>
      </c>
      <c r="Y9" s="12"/>
      <c r="Z9" s="12">
        <v>0</v>
      </c>
      <c r="AA9" s="12"/>
      <c r="AB9" s="12">
        <v>0</v>
      </c>
      <c r="AC9" s="12">
        <v>0</v>
      </c>
      <c r="AE9" s="12">
        <v>0</v>
      </c>
      <c r="AJ9" s="12">
        <v>0</v>
      </c>
      <c r="AL9" s="12">
        <v>2</v>
      </c>
      <c r="AM9" s="12">
        <v>1</v>
      </c>
      <c r="AN9" s="12">
        <v>1</v>
      </c>
      <c r="AP9" s="12">
        <v>0</v>
      </c>
      <c r="AQ9" s="12">
        <v>1</v>
      </c>
      <c r="AT9" s="12">
        <v>1</v>
      </c>
      <c r="AU9" s="12">
        <v>1</v>
      </c>
      <c r="AV9" s="12">
        <v>1</v>
      </c>
      <c r="AX9" s="12">
        <v>0</v>
      </c>
      <c r="AZ9" s="12">
        <v>1</v>
      </c>
      <c r="BA9" s="12">
        <v>0</v>
      </c>
      <c r="BC9" s="12">
        <v>1</v>
      </c>
      <c r="BD9" s="12">
        <v>2</v>
      </c>
      <c r="BE9" s="12">
        <v>1</v>
      </c>
      <c r="BG9" s="35">
        <v>0</v>
      </c>
      <c r="BH9" s="35"/>
      <c r="BI9" s="35">
        <v>1</v>
      </c>
      <c r="BJ9" s="35"/>
      <c r="BK9" s="35"/>
      <c r="BL9" s="35">
        <v>0</v>
      </c>
      <c r="BM9" s="35"/>
      <c r="BN9" s="35"/>
      <c r="BO9" s="35">
        <v>0</v>
      </c>
      <c r="BP9" s="38"/>
      <c r="BQ9" s="38"/>
    </row>
    <row r="10" spans="1:69" x14ac:dyDescent="0.25">
      <c r="A10" t="s">
        <v>199</v>
      </c>
      <c r="B10" s="12">
        <v>2</v>
      </c>
      <c r="C10" s="12">
        <v>2</v>
      </c>
      <c r="D10" s="12">
        <v>2</v>
      </c>
      <c r="E10" s="12">
        <v>2</v>
      </c>
      <c r="F10" s="12">
        <v>2</v>
      </c>
      <c r="G10" s="12">
        <v>2</v>
      </c>
      <c r="H10" s="12">
        <v>2</v>
      </c>
      <c r="I10" s="12">
        <v>0</v>
      </c>
      <c r="J10" s="12">
        <v>2</v>
      </c>
      <c r="K10" s="12">
        <v>2</v>
      </c>
      <c r="L10" s="12">
        <v>0</v>
      </c>
      <c r="M10" s="12">
        <v>2</v>
      </c>
      <c r="N10" s="12">
        <v>2</v>
      </c>
      <c r="O10" s="18">
        <v>2</v>
      </c>
      <c r="P10" s="12">
        <v>2</v>
      </c>
      <c r="Q10" s="12">
        <v>0</v>
      </c>
      <c r="R10" s="12">
        <v>2</v>
      </c>
      <c r="S10" s="12">
        <v>2</v>
      </c>
      <c r="T10" s="12">
        <v>2</v>
      </c>
      <c r="U10" s="12">
        <v>2</v>
      </c>
      <c r="V10" s="12">
        <v>2</v>
      </c>
      <c r="W10" s="12">
        <v>2</v>
      </c>
      <c r="X10" s="12">
        <v>2</v>
      </c>
      <c r="Y10" s="12">
        <v>3</v>
      </c>
      <c r="Z10" s="12">
        <v>2</v>
      </c>
      <c r="AA10" s="12">
        <v>2</v>
      </c>
      <c r="AB10" s="12">
        <v>0</v>
      </c>
      <c r="AC10" s="12">
        <v>2</v>
      </c>
      <c r="AD10" s="12">
        <v>2</v>
      </c>
      <c r="AE10" s="12">
        <v>0</v>
      </c>
      <c r="AF10" s="12">
        <v>2</v>
      </c>
      <c r="AG10" s="12">
        <v>2</v>
      </c>
      <c r="AH10" s="12">
        <v>2</v>
      </c>
      <c r="AI10" s="12">
        <v>3</v>
      </c>
      <c r="AJ10" s="12">
        <v>2</v>
      </c>
      <c r="AK10" s="12">
        <v>2</v>
      </c>
      <c r="AL10" s="12">
        <v>2</v>
      </c>
      <c r="AM10" s="12">
        <v>2</v>
      </c>
      <c r="AN10" s="12">
        <v>2</v>
      </c>
      <c r="AO10" s="12">
        <v>2</v>
      </c>
      <c r="AP10" s="12">
        <v>2</v>
      </c>
      <c r="AQ10" s="12">
        <v>2</v>
      </c>
      <c r="AR10" s="12">
        <v>2</v>
      </c>
      <c r="AS10" s="12">
        <v>2</v>
      </c>
      <c r="AT10" s="12">
        <v>2</v>
      </c>
      <c r="AU10" s="12">
        <v>2</v>
      </c>
      <c r="AV10" s="12">
        <v>1</v>
      </c>
      <c r="AW10" s="12">
        <v>2</v>
      </c>
      <c r="AX10" s="12">
        <v>3</v>
      </c>
      <c r="AY10" s="12">
        <v>0</v>
      </c>
      <c r="AZ10" s="12">
        <v>2</v>
      </c>
      <c r="BA10" s="12">
        <v>2</v>
      </c>
      <c r="BB10" s="12">
        <v>0</v>
      </c>
      <c r="BC10" s="12">
        <v>1</v>
      </c>
      <c r="BD10" s="12">
        <v>2</v>
      </c>
      <c r="BE10" s="12">
        <v>1</v>
      </c>
      <c r="BF10" s="12">
        <v>2</v>
      </c>
      <c r="BG10" s="35">
        <v>2</v>
      </c>
      <c r="BH10" s="35">
        <v>2</v>
      </c>
      <c r="BI10" s="35">
        <v>2</v>
      </c>
      <c r="BJ10" s="35">
        <v>2</v>
      </c>
      <c r="BK10" s="35">
        <v>2</v>
      </c>
      <c r="BL10" s="35">
        <v>2</v>
      </c>
      <c r="BM10" s="35">
        <v>2</v>
      </c>
      <c r="BN10" s="35">
        <v>2</v>
      </c>
      <c r="BO10" s="35">
        <v>2</v>
      </c>
      <c r="BP10" s="38">
        <v>2</v>
      </c>
      <c r="BQ10" s="38">
        <v>2</v>
      </c>
    </row>
    <row r="11" spans="1:69" x14ac:dyDescent="0.25">
      <c r="A11" t="s">
        <v>205</v>
      </c>
      <c r="B11" s="12">
        <v>37</v>
      </c>
      <c r="C11" s="12">
        <v>545</v>
      </c>
      <c r="D11" s="12">
        <v>36</v>
      </c>
      <c r="E11" s="12">
        <v>673</v>
      </c>
      <c r="F11" s="12">
        <v>279</v>
      </c>
      <c r="G11" s="12">
        <v>53</v>
      </c>
      <c r="H11" s="12">
        <v>190</v>
      </c>
      <c r="I11" s="12">
        <v>101</v>
      </c>
      <c r="J11" s="12">
        <v>119</v>
      </c>
      <c r="K11" s="12">
        <v>105</v>
      </c>
      <c r="L11" s="12">
        <v>47</v>
      </c>
      <c r="M11" s="12">
        <v>329</v>
      </c>
      <c r="N11" s="12">
        <v>30</v>
      </c>
      <c r="O11" s="18">
        <v>81</v>
      </c>
      <c r="P11" s="12">
        <v>96</v>
      </c>
      <c r="Q11" s="12">
        <v>111</v>
      </c>
      <c r="R11" s="12">
        <v>114</v>
      </c>
      <c r="S11" s="12">
        <v>155</v>
      </c>
      <c r="T11" s="12">
        <v>44</v>
      </c>
      <c r="U11" s="12">
        <v>316</v>
      </c>
      <c r="V11" s="12">
        <v>47</v>
      </c>
      <c r="W11" s="12">
        <v>403</v>
      </c>
      <c r="X11" s="12">
        <v>68</v>
      </c>
      <c r="Y11" s="12">
        <v>168</v>
      </c>
      <c r="Z11" s="12">
        <v>40</v>
      </c>
      <c r="AA11" s="12">
        <v>110</v>
      </c>
      <c r="AB11" s="12">
        <v>11</v>
      </c>
      <c r="AC11" s="12">
        <v>52</v>
      </c>
      <c r="AD11" s="12">
        <v>171</v>
      </c>
      <c r="AE11" s="12">
        <v>17</v>
      </c>
      <c r="AF11" s="12">
        <v>182</v>
      </c>
      <c r="AG11" s="12">
        <v>107</v>
      </c>
      <c r="AH11" s="12">
        <v>92</v>
      </c>
      <c r="AI11" s="12">
        <v>131</v>
      </c>
      <c r="AJ11" s="12">
        <v>63</v>
      </c>
      <c r="AK11" s="12">
        <v>233</v>
      </c>
      <c r="AL11" s="12">
        <v>157</v>
      </c>
      <c r="AM11" s="12">
        <v>24</v>
      </c>
      <c r="AN11" s="12">
        <v>63</v>
      </c>
      <c r="AO11" s="12">
        <v>3</v>
      </c>
      <c r="AP11" s="12">
        <v>53</v>
      </c>
      <c r="AQ11" s="12">
        <v>50</v>
      </c>
      <c r="AR11" s="12">
        <v>94</v>
      </c>
      <c r="AS11" s="12">
        <v>313</v>
      </c>
      <c r="AT11" s="12">
        <v>124</v>
      </c>
      <c r="AU11" s="12">
        <v>36</v>
      </c>
      <c r="AV11" s="12">
        <v>158</v>
      </c>
      <c r="AW11" s="12">
        <v>174</v>
      </c>
      <c r="AX11" s="12">
        <v>2</v>
      </c>
      <c r="AY11" s="12">
        <v>13</v>
      </c>
      <c r="AZ11" s="12">
        <v>24</v>
      </c>
      <c r="BA11" s="12">
        <v>188</v>
      </c>
      <c r="BB11" s="12">
        <v>31</v>
      </c>
      <c r="BC11" s="12">
        <v>1</v>
      </c>
      <c r="BD11" s="12">
        <v>31</v>
      </c>
      <c r="BE11" s="12">
        <v>32</v>
      </c>
      <c r="BF11" s="12">
        <v>90</v>
      </c>
      <c r="BG11" s="35"/>
      <c r="BH11" s="35"/>
      <c r="BI11" s="35"/>
      <c r="BJ11" s="35"/>
      <c r="BK11" s="35"/>
      <c r="BL11" s="35"/>
      <c r="BM11" s="35"/>
      <c r="BN11" s="35">
        <v>58</v>
      </c>
      <c r="BO11" s="35">
        <v>105</v>
      </c>
      <c r="BP11" s="38">
        <v>82</v>
      </c>
      <c r="BQ11" s="38">
        <v>115</v>
      </c>
    </row>
    <row r="12" spans="1:69" x14ac:dyDescent="0.25">
      <c r="A12" t="s">
        <v>206</v>
      </c>
      <c r="B12" s="12">
        <f>IF(B10=2,1,0)</f>
        <v>1</v>
      </c>
      <c r="C12" s="12">
        <f t="shared" ref="C12:AB12" si="0">IF(C10=2,1,0)</f>
        <v>1</v>
      </c>
      <c r="D12" s="12">
        <f t="shared" si="0"/>
        <v>1</v>
      </c>
      <c r="E12" s="12">
        <f t="shared" si="0"/>
        <v>1</v>
      </c>
      <c r="F12" s="12">
        <f t="shared" si="0"/>
        <v>1</v>
      </c>
      <c r="G12" s="12">
        <f t="shared" si="0"/>
        <v>1</v>
      </c>
      <c r="H12" s="12">
        <f t="shared" si="0"/>
        <v>1</v>
      </c>
      <c r="I12" s="12">
        <f t="shared" si="0"/>
        <v>0</v>
      </c>
      <c r="J12" s="12">
        <f t="shared" si="0"/>
        <v>1</v>
      </c>
      <c r="K12" s="12">
        <f t="shared" si="0"/>
        <v>1</v>
      </c>
      <c r="L12" s="12">
        <f t="shared" si="0"/>
        <v>0</v>
      </c>
      <c r="M12" s="12">
        <f t="shared" si="0"/>
        <v>1</v>
      </c>
      <c r="N12" s="12">
        <f t="shared" si="0"/>
        <v>1</v>
      </c>
      <c r="O12" s="12">
        <f t="shared" si="0"/>
        <v>1</v>
      </c>
      <c r="P12" s="12">
        <f t="shared" si="0"/>
        <v>1</v>
      </c>
      <c r="Q12" s="12">
        <f t="shared" si="0"/>
        <v>0</v>
      </c>
      <c r="R12" s="12">
        <f t="shared" si="0"/>
        <v>1</v>
      </c>
      <c r="S12" s="12">
        <f t="shared" si="0"/>
        <v>1</v>
      </c>
      <c r="T12" s="12">
        <f t="shared" si="0"/>
        <v>1</v>
      </c>
      <c r="U12" s="12">
        <f t="shared" si="0"/>
        <v>1</v>
      </c>
      <c r="V12" s="12">
        <f t="shared" si="0"/>
        <v>1</v>
      </c>
      <c r="W12" s="12">
        <f t="shared" si="0"/>
        <v>1</v>
      </c>
      <c r="X12" s="12">
        <f t="shared" si="0"/>
        <v>1</v>
      </c>
      <c r="Y12" s="12">
        <f t="shared" si="0"/>
        <v>0</v>
      </c>
      <c r="Z12" s="12">
        <f t="shared" si="0"/>
        <v>1</v>
      </c>
      <c r="AA12" s="12">
        <f t="shared" si="0"/>
        <v>1</v>
      </c>
      <c r="AB12" s="12">
        <f t="shared" si="0"/>
        <v>0</v>
      </c>
      <c r="AC12" s="12">
        <f>IF(AC10=2,1,0)</f>
        <v>1</v>
      </c>
      <c r="AD12" s="12">
        <f t="shared" ref="AD12:BF12" si="1">IF(AD10=2,1,0)</f>
        <v>1</v>
      </c>
      <c r="AE12" s="12">
        <f t="shared" si="1"/>
        <v>0</v>
      </c>
      <c r="AF12" s="12">
        <f t="shared" si="1"/>
        <v>1</v>
      </c>
      <c r="AG12" s="12">
        <f t="shared" si="1"/>
        <v>1</v>
      </c>
      <c r="AH12" s="12">
        <f t="shared" si="1"/>
        <v>1</v>
      </c>
      <c r="AI12" s="12">
        <f t="shared" si="1"/>
        <v>0</v>
      </c>
      <c r="AJ12" s="12">
        <f t="shared" si="1"/>
        <v>1</v>
      </c>
      <c r="AK12" s="12">
        <f t="shared" si="1"/>
        <v>1</v>
      </c>
      <c r="AL12" s="12">
        <f t="shared" si="1"/>
        <v>1</v>
      </c>
      <c r="AM12" s="12">
        <f t="shared" si="1"/>
        <v>1</v>
      </c>
      <c r="AN12" s="12">
        <f t="shared" si="1"/>
        <v>1</v>
      </c>
      <c r="AO12" s="12">
        <f t="shared" si="1"/>
        <v>1</v>
      </c>
      <c r="AP12" s="12">
        <f t="shared" si="1"/>
        <v>1</v>
      </c>
      <c r="AQ12" s="12">
        <f t="shared" si="1"/>
        <v>1</v>
      </c>
      <c r="AR12" s="12">
        <f t="shared" si="1"/>
        <v>1</v>
      </c>
      <c r="AS12" s="12">
        <f t="shared" si="1"/>
        <v>1</v>
      </c>
      <c r="AT12" s="12">
        <f t="shared" si="1"/>
        <v>1</v>
      </c>
      <c r="AU12" s="12">
        <f t="shared" si="1"/>
        <v>1</v>
      </c>
      <c r="AV12" s="12">
        <f t="shared" si="1"/>
        <v>0</v>
      </c>
      <c r="AW12" s="12">
        <f t="shared" si="1"/>
        <v>1</v>
      </c>
      <c r="AX12" s="12">
        <f t="shared" si="1"/>
        <v>0</v>
      </c>
      <c r="AY12" s="12">
        <f t="shared" si="1"/>
        <v>0</v>
      </c>
      <c r="AZ12" s="12">
        <f t="shared" si="1"/>
        <v>1</v>
      </c>
      <c r="BA12" s="12">
        <f t="shared" si="1"/>
        <v>1</v>
      </c>
      <c r="BB12" s="12">
        <f t="shared" si="1"/>
        <v>0</v>
      </c>
      <c r="BC12" s="12">
        <f t="shared" si="1"/>
        <v>0</v>
      </c>
      <c r="BD12" s="12">
        <f t="shared" si="1"/>
        <v>1</v>
      </c>
      <c r="BE12" s="12">
        <f t="shared" si="1"/>
        <v>0</v>
      </c>
      <c r="BF12" s="12">
        <f t="shared" si="1"/>
        <v>1</v>
      </c>
      <c r="BG12" s="35">
        <f t="shared" ref="BG12:BP12" si="2">IF(BG10=2,1,0)</f>
        <v>1</v>
      </c>
      <c r="BH12" s="35">
        <f t="shared" si="2"/>
        <v>1</v>
      </c>
      <c r="BI12" s="35">
        <f t="shared" si="2"/>
        <v>1</v>
      </c>
      <c r="BJ12" s="35">
        <f t="shared" si="2"/>
        <v>1</v>
      </c>
      <c r="BK12" s="35">
        <f t="shared" si="2"/>
        <v>1</v>
      </c>
      <c r="BL12" s="35">
        <f t="shared" si="2"/>
        <v>1</v>
      </c>
      <c r="BM12" s="35">
        <f t="shared" si="2"/>
        <v>1</v>
      </c>
      <c r="BN12" s="35">
        <f t="shared" si="2"/>
        <v>1</v>
      </c>
      <c r="BO12" s="35">
        <f t="shared" si="2"/>
        <v>1</v>
      </c>
      <c r="BP12" s="35">
        <f t="shared" si="2"/>
        <v>1</v>
      </c>
      <c r="BQ12" s="35">
        <f t="shared" ref="BQ12" si="3">IF(BQ10=2,1,0)</f>
        <v>1</v>
      </c>
    </row>
    <row r="13" spans="1:69" x14ac:dyDescent="0.25">
      <c r="A13" t="s">
        <v>209</v>
      </c>
      <c r="B13" s="12">
        <v>4</v>
      </c>
      <c r="C13" s="12">
        <v>4</v>
      </c>
      <c r="D13" s="12">
        <v>3</v>
      </c>
      <c r="E13" s="12">
        <v>8</v>
      </c>
      <c r="F13" s="12">
        <v>3</v>
      </c>
      <c r="G13" s="12">
        <v>3</v>
      </c>
      <c r="H13" s="12">
        <v>8</v>
      </c>
      <c r="I13" s="12">
        <v>7</v>
      </c>
      <c r="J13" s="12">
        <v>8</v>
      </c>
      <c r="K13" s="12">
        <v>4</v>
      </c>
      <c r="L13" s="12">
        <v>2</v>
      </c>
      <c r="M13" s="12">
        <v>5</v>
      </c>
      <c r="N13" s="12">
        <v>3</v>
      </c>
      <c r="O13" s="18">
        <v>11</v>
      </c>
      <c r="P13" s="12">
        <v>8</v>
      </c>
      <c r="Q13" s="12">
        <v>7</v>
      </c>
      <c r="R13" s="12">
        <v>5</v>
      </c>
      <c r="S13" s="12">
        <v>5</v>
      </c>
      <c r="T13" s="12">
        <v>15</v>
      </c>
      <c r="U13" s="12">
        <v>6</v>
      </c>
      <c r="V13" s="12">
        <v>6</v>
      </c>
      <c r="W13" s="12">
        <v>6</v>
      </c>
      <c r="X13" s="12">
        <v>8</v>
      </c>
      <c r="Y13" s="12">
        <v>2</v>
      </c>
      <c r="Z13" s="12">
        <v>5</v>
      </c>
      <c r="AA13" s="12">
        <v>7</v>
      </c>
      <c r="AB13" s="12">
        <v>4</v>
      </c>
      <c r="AC13" s="12">
        <v>8</v>
      </c>
      <c r="AD13" s="12">
        <v>7</v>
      </c>
      <c r="AE13" s="12">
        <v>4</v>
      </c>
      <c r="AF13" s="12">
        <v>7</v>
      </c>
      <c r="AG13" s="12">
        <v>6</v>
      </c>
      <c r="AH13" s="12">
        <v>5</v>
      </c>
      <c r="AI13" s="12">
        <v>3</v>
      </c>
      <c r="AJ13" s="12">
        <v>4</v>
      </c>
      <c r="AK13" s="12">
        <v>7</v>
      </c>
      <c r="AL13" s="12">
        <v>3</v>
      </c>
      <c r="AM13" s="12">
        <v>5</v>
      </c>
      <c r="AN13" s="12">
        <v>8</v>
      </c>
      <c r="AO13" s="12">
        <v>5</v>
      </c>
      <c r="AP13" s="12">
        <v>9</v>
      </c>
      <c r="AQ13" s="12">
        <v>5</v>
      </c>
      <c r="AR13" s="12">
        <v>8</v>
      </c>
      <c r="AS13" s="12">
        <v>4</v>
      </c>
      <c r="AT13" s="12">
        <v>7</v>
      </c>
      <c r="AU13" s="12">
        <v>4</v>
      </c>
      <c r="AV13" s="12">
        <v>8</v>
      </c>
      <c r="AW13" s="12">
        <v>6</v>
      </c>
      <c r="AX13" s="12">
        <v>8</v>
      </c>
      <c r="AY13" s="12">
        <v>8</v>
      </c>
      <c r="AZ13" s="12">
        <v>5</v>
      </c>
      <c r="BA13" s="12">
        <v>4</v>
      </c>
      <c r="BB13" s="12">
        <v>6</v>
      </c>
      <c r="BC13" s="12">
        <v>5</v>
      </c>
      <c r="BD13" s="12">
        <v>5</v>
      </c>
      <c r="BE13" s="12">
        <v>5</v>
      </c>
      <c r="BF13" s="12">
        <v>7</v>
      </c>
      <c r="BG13" s="35">
        <v>4</v>
      </c>
      <c r="BH13" s="35">
        <v>5</v>
      </c>
      <c r="BI13" s="35">
        <v>4</v>
      </c>
      <c r="BJ13" s="35">
        <v>6</v>
      </c>
      <c r="BK13" s="35">
        <v>6</v>
      </c>
      <c r="BL13" s="35">
        <v>6</v>
      </c>
      <c r="BM13" s="35">
        <v>6</v>
      </c>
      <c r="BN13" s="35">
        <v>8</v>
      </c>
      <c r="BO13" s="35">
        <v>5</v>
      </c>
      <c r="BP13" s="35">
        <v>6</v>
      </c>
      <c r="BQ13" s="35">
        <v>7</v>
      </c>
    </row>
    <row r="14" spans="1:69" x14ac:dyDescent="0.25">
      <c r="A14" t="s">
        <v>210</v>
      </c>
      <c r="B14" s="12">
        <v>10</v>
      </c>
      <c r="C14" s="12">
        <v>8</v>
      </c>
      <c r="D14" s="12">
        <v>11</v>
      </c>
      <c r="E14" s="12">
        <v>6</v>
      </c>
      <c r="F14" s="12">
        <v>11</v>
      </c>
      <c r="G14" s="12">
        <v>10</v>
      </c>
      <c r="H14" s="12">
        <v>5</v>
      </c>
      <c r="I14" s="12">
        <v>9</v>
      </c>
      <c r="J14" s="12">
        <v>6</v>
      </c>
      <c r="K14" s="12">
        <v>5</v>
      </c>
      <c r="L14" s="12">
        <v>10</v>
      </c>
      <c r="M14" s="12">
        <v>9</v>
      </c>
      <c r="N14" s="12">
        <v>6</v>
      </c>
      <c r="O14" s="18">
        <v>11</v>
      </c>
      <c r="P14" s="12">
        <v>9</v>
      </c>
      <c r="Q14" s="12">
        <v>9</v>
      </c>
      <c r="R14" s="12">
        <v>4</v>
      </c>
      <c r="S14" s="12">
        <v>4</v>
      </c>
      <c r="T14" s="12">
        <v>6</v>
      </c>
      <c r="U14" s="12">
        <v>2</v>
      </c>
      <c r="V14" s="12">
        <v>8</v>
      </c>
      <c r="W14" s="12">
        <v>9</v>
      </c>
      <c r="X14" s="12">
        <v>9</v>
      </c>
      <c r="Y14" s="12">
        <v>5</v>
      </c>
      <c r="Z14" s="12">
        <v>6</v>
      </c>
      <c r="AA14" s="12">
        <v>4</v>
      </c>
      <c r="AB14" s="12">
        <v>6</v>
      </c>
      <c r="AC14" s="12">
        <v>5</v>
      </c>
      <c r="AD14" s="12">
        <v>9</v>
      </c>
      <c r="AE14" s="12">
        <v>10</v>
      </c>
      <c r="AF14" s="12">
        <v>9</v>
      </c>
      <c r="AG14" s="12">
        <v>8</v>
      </c>
      <c r="AH14" s="12">
        <v>9</v>
      </c>
      <c r="AI14" s="12">
        <v>8</v>
      </c>
      <c r="AJ14" s="12">
        <v>7</v>
      </c>
      <c r="AK14" s="12">
        <v>3</v>
      </c>
      <c r="AL14" s="12">
        <v>11</v>
      </c>
      <c r="AM14" s="12">
        <v>7</v>
      </c>
      <c r="AN14" s="12">
        <v>10</v>
      </c>
      <c r="AO14" s="12">
        <v>6</v>
      </c>
      <c r="AP14" s="12">
        <v>5</v>
      </c>
      <c r="AQ14" s="12">
        <v>6</v>
      </c>
      <c r="AR14" s="12">
        <v>10</v>
      </c>
      <c r="AS14" s="12">
        <v>2</v>
      </c>
      <c r="AT14" s="12">
        <v>11</v>
      </c>
      <c r="AU14" s="12">
        <v>11</v>
      </c>
      <c r="AV14" s="12">
        <v>9</v>
      </c>
      <c r="AW14" s="12">
        <v>9</v>
      </c>
      <c r="AX14" s="12">
        <v>3</v>
      </c>
      <c r="AY14" s="12">
        <v>8</v>
      </c>
      <c r="AZ14" s="12">
        <v>11</v>
      </c>
      <c r="BA14" s="12">
        <v>9</v>
      </c>
      <c r="BB14" s="12">
        <v>9</v>
      </c>
      <c r="BC14" s="12">
        <v>9</v>
      </c>
      <c r="BD14" s="12">
        <v>4</v>
      </c>
      <c r="BE14" s="12">
        <v>9</v>
      </c>
      <c r="BF14" s="12">
        <v>6</v>
      </c>
      <c r="BG14" s="35">
        <v>10</v>
      </c>
      <c r="BH14" s="35">
        <v>4</v>
      </c>
      <c r="BI14" s="35">
        <v>9</v>
      </c>
      <c r="BJ14" s="35">
        <v>10</v>
      </c>
      <c r="BK14" s="35">
        <v>8</v>
      </c>
      <c r="BL14" s="35">
        <v>10</v>
      </c>
      <c r="BM14" s="35">
        <v>8</v>
      </c>
      <c r="BN14" s="35">
        <v>8</v>
      </c>
      <c r="BO14" s="35">
        <v>1</v>
      </c>
      <c r="BP14" s="35">
        <v>8</v>
      </c>
      <c r="BQ14" s="35">
        <v>8</v>
      </c>
    </row>
    <row r="15" spans="1:69" x14ac:dyDescent="0.25">
      <c r="A15" t="s">
        <v>211</v>
      </c>
      <c r="B15" s="12">
        <v>8</v>
      </c>
      <c r="C15" s="12">
        <v>8</v>
      </c>
      <c r="D15" s="12">
        <v>10</v>
      </c>
      <c r="E15" s="12">
        <v>8</v>
      </c>
      <c r="F15" s="12">
        <v>10</v>
      </c>
      <c r="G15" s="12">
        <v>8</v>
      </c>
      <c r="H15" s="12">
        <v>5</v>
      </c>
      <c r="I15" s="12">
        <v>8</v>
      </c>
      <c r="J15" s="12">
        <v>10</v>
      </c>
      <c r="K15" s="12">
        <v>7</v>
      </c>
      <c r="L15" s="12">
        <v>8</v>
      </c>
      <c r="M15" s="12">
        <v>5</v>
      </c>
      <c r="N15" s="12">
        <v>7</v>
      </c>
      <c r="O15" s="18">
        <v>11</v>
      </c>
      <c r="P15" s="12">
        <v>9</v>
      </c>
      <c r="Q15" s="12">
        <v>9</v>
      </c>
      <c r="R15" s="12">
        <v>8</v>
      </c>
      <c r="S15" s="12">
        <v>7</v>
      </c>
      <c r="T15" s="12">
        <v>7</v>
      </c>
      <c r="U15" s="12">
        <v>11</v>
      </c>
      <c r="V15" s="12">
        <v>7</v>
      </c>
      <c r="W15" s="12">
        <v>4</v>
      </c>
      <c r="X15" s="12">
        <v>8</v>
      </c>
      <c r="Y15" s="12">
        <v>6</v>
      </c>
      <c r="Z15" s="12">
        <v>2</v>
      </c>
      <c r="AA15" s="12">
        <v>7</v>
      </c>
      <c r="AB15" s="12">
        <v>4</v>
      </c>
      <c r="AC15" s="12">
        <v>7</v>
      </c>
      <c r="AD15" s="12">
        <v>5</v>
      </c>
      <c r="AE15" s="12">
        <v>10</v>
      </c>
      <c r="AF15" s="12">
        <v>6</v>
      </c>
      <c r="AG15" s="12">
        <v>5</v>
      </c>
      <c r="AH15" s="12">
        <v>9</v>
      </c>
      <c r="AI15" s="12">
        <v>10</v>
      </c>
      <c r="AJ15" s="12">
        <v>7</v>
      </c>
      <c r="AK15" s="12">
        <v>9</v>
      </c>
      <c r="AL15" s="12">
        <v>6</v>
      </c>
      <c r="AM15" s="12">
        <v>9</v>
      </c>
      <c r="AN15" s="12">
        <v>9</v>
      </c>
      <c r="AO15" s="12">
        <v>10</v>
      </c>
      <c r="AP15" s="12">
        <v>9</v>
      </c>
      <c r="AQ15" s="12">
        <v>7</v>
      </c>
      <c r="AR15" s="12">
        <v>10</v>
      </c>
      <c r="AS15" s="12">
        <v>6</v>
      </c>
      <c r="AT15" s="12">
        <v>11</v>
      </c>
      <c r="AU15" s="12">
        <v>7</v>
      </c>
      <c r="AV15" s="12">
        <v>7</v>
      </c>
      <c r="AW15" s="12">
        <v>4</v>
      </c>
      <c r="AX15" s="12">
        <v>10</v>
      </c>
      <c r="AY15" s="12">
        <v>7</v>
      </c>
      <c r="AZ15" s="12">
        <v>6</v>
      </c>
      <c r="BA15" s="12">
        <v>5</v>
      </c>
      <c r="BB15" s="12">
        <v>7</v>
      </c>
      <c r="BC15" s="12">
        <v>9</v>
      </c>
      <c r="BD15" s="12">
        <v>5</v>
      </c>
      <c r="BE15" s="12">
        <v>6</v>
      </c>
      <c r="BF15" s="12">
        <v>9</v>
      </c>
      <c r="BG15" s="35">
        <v>7</v>
      </c>
      <c r="BH15" s="35">
        <v>5</v>
      </c>
      <c r="BI15" s="35">
        <v>5</v>
      </c>
      <c r="BJ15" s="35">
        <v>3</v>
      </c>
      <c r="BK15" s="35">
        <v>4</v>
      </c>
      <c r="BL15" s="35">
        <v>11</v>
      </c>
      <c r="BM15" s="35">
        <v>6</v>
      </c>
      <c r="BN15" s="35">
        <v>7</v>
      </c>
      <c r="BO15" s="35">
        <v>9</v>
      </c>
      <c r="BP15" s="35">
        <v>4</v>
      </c>
      <c r="BQ15" s="35">
        <v>11</v>
      </c>
    </row>
    <row r="16" spans="1:69" x14ac:dyDescent="0.25">
      <c r="A16" t="s">
        <v>212</v>
      </c>
      <c r="B16" s="12">
        <v>6</v>
      </c>
      <c r="C16" s="12">
        <v>10</v>
      </c>
      <c r="D16" s="12">
        <v>9</v>
      </c>
      <c r="E16" s="12">
        <v>6</v>
      </c>
      <c r="F16" s="12">
        <v>6</v>
      </c>
      <c r="G16" s="12">
        <v>9</v>
      </c>
      <c r="H16" s="12">
        <v>7</v>
      </c>
      <c r="I16" s="12">
        <v>8</v>
      </c>
      <c r="J16" s="12">
        <v>5</v>
      </c>
      <c r="K16" s="12">
        <v>8</v>
      </c>
      <c r="L16" s="12">
        <v>10</v>
      </c>
      <c r="M16" s="12">
        <v>8</v>
      </c>
      <c r="N16" s="12">
        <v>7</v>
      </c>
      <c r="O16" s="18">
        <v>11</v>
      </c>
      <c r="P16" s="12">
        <v>5</v>
      </c>
      <c r="Q16" s="12">
        <v>7</v>
      </c>
      <c r="R16" s="12">
        <v>6</v>
      </c>
      <c r="S16" s="12">
        <v>6</v>
      </c>
      <c r="T16" s="12">
        <v>9</v>
      </c>
      <c r="U16" s="12">
        <v>4</v>
      </c>
      <c r="V16" s="12">
        <v>7</v>
      </c>
      <c r="W16" s="12">
        <v>8</v>
      </c>
      <c r="X16" s="12">
        <v>7</v>
      </c>
      <c r="Y16" s="12">
        <v>2</v>
      </c>
      <c r="Z16" s="12">
        <v>6</v>
      </c>
      <c r="AA16" s="12">
        <v>5</v>
      </c>
      <c r="AB16" s="12">
        <v>9</v>
      </c>
      <c r="AC16" s="12">
        <v>8</v>
      </c>
      <c r="AD16" s="12">
        <v>8</v>
      </c>
      <c r="AE16" s="12">
        <v>6</v>
      </c>
      <c r="AF16" s="12">
        <v>9</v>
      </c>
      <c r="AG16" s="12">
        <v>5</v>
      </c>
      <c r="AH16" s="12">
        <v>6</v>
      </c>
      <c r="AI16" s="12">
        <v>2</v>
      </c>
      <c r="AJ16" s="12">
        <v>4</v>
      </c>
      <c r="AK16" s="12">
        <v>6</v>
      </c>
      <c r="AL16" s="12">
        <v>7</v>
      </c>
      <c r="AM16" s="12">
        <v>5</v>
      </c>
      <c r="AN16" s="12">
        <v>7</v>
      </c>
      <c r="AO16" s="12">
        <v>4</v>
      </c>
      <c r="AP16" s="12">
        <v>6</v>
      </c>
      <c r="AQ16" s="12">
        <v>6</v>
      </c>
      <c r="AR16" s="12">
        <v>10</v>
      </c>
      <c r="AS16" s="12">
        <v>5</v>
      </c>
      <c r="AT16" s="12">
        <v>8</v>
      </c>
      <c r="AU16" s="12">
        <v>9</v>
      </c>
      <c r="AV16" s="12">
        <v>5</v>
      </c>
      <c r="AW16" s="12">
        <v>8</v>
      </c>
      <c r="AX16" s="12">
        <v>9</v>
      </c>
      <c r="AY16" s="12">
        <v>4</v>
      </c>
      <c r="AZ16" s="12">
        <v>8</v>
      </c>
      <c r="BA16" s="12">
        <v>8</v>
      </c>
      <c r="BB16" s="12">
        <v>9</v>
      </c>
      <c r="BC16" s="12">
        <v>7</v>
      </c>
      <c r="BD16" s="12">
        <v>3</v>
      </c>
      <c r="BE16" s="12">
        <v>9</v>
      </c>
      <c r="BF16" s="12">
        <v>3</v>
      </c>
      <c r="BG16" s="35">
        <v>4</v>
      </c>
      <c r="BH16" s="35">
        <v>5</v>
      </c>
      <c r="BI16" s="35">
        <v>4</v>
      </c>
      <c r="BJ16" s="35">
        <v>5</v>
      </c>
      <c r="BK16" s="35">
        <v>7</v>
      </c>
      <c r="BL16" s="35">
        <v>7</v>
      </c>
      <c r="BM16" s="35">
        <v>5</v>
      </c>
      <c r="BN16" s="35">
        <v>6</v>
      </c>
      <c r="BO16" s="35">
        <v>3</v>
      </c>
      <c r="BP16" s="35">
        <v>6</v>
      </c>
      <c r="BQ16" s="35">
        <v>6</v>
      </c>
    </row>
    <row r="17" spans="1:69" x14ac:dyDescent="0.25">
      <c r="A17" t="s">
        <v>213</v>
      </c>
      <c r="B17" s="12">
        <v>4</v>
      </c>
      <c r="C17" s="12">
        <v>4</v>
      </c>
      <c r="D17" s="12">
        <v>4</v>
      </c>
      <c r="E17" s="12">
        <v>632.19000000000005</v>
      </c>
      <c r="F17" s="12">
        <v>4</v>
      </c>
      <c r="G17" s="12">
        <v>4</v>
      </c>
      <c r="H17" s="12">
        <v>4</v>
      </c>
      <c r="I17" s="12">
        <v>4</v>
      </c>
      <c r="J17" s="12">
        <v>4</v>
      </c>
      <c r="K17" s="12">
        <v>4</v>
      </c>
      <c r="L17" s="12">
        <v>4</v>
      </c>
      <c r="M17" s="12">
        <v>4</v>
      </c>
      <c r="N17" s="12">
        <v>4</v>
      </c>
      <c r="O17" s="18">
        <v>0</v>
      </c>
      <c r="P17" s="12">
        <v>2524.9499999999998</v>
      </c>
      <c r="Q17" s="12">
        <v>4</v>
      </c>
      <c r="R17" s="12">
        <v>4</v>
      </c>
      <c r="S17" s="12">
        <v>3</v>
      </c>
      <c r="T17" s="12">
        <v>4</v>
      </c>
      <c r="U17" s="12">
        <v>4</v>
      </c>
      <c r="V17" s="12">
        <v>4</v>
      </c>
      <c r="W17" s="12">
        <v>4</v>
      </c>
      <c r="X17" s="12">
        <v>2500</v>
      </c>
      <c r="Y17" s="12">
        <v>4</v>
      </c>
      <c r="Z17" s="12">
        <v>3.8</v>
      </c>
      <c r="AA17" s="12">
        <v>4</v>
      </c>
      <c r="AB17" s="12">
        <v>3</v>
      </c>
      <c r="AC17" s="12">
        <v>3</v>
      </c>
      <c r="AD17" s="12">
        <v>4</v>
      </c>
      <c r="AE17" s="12">
        <v>4</v>
      </c>
      <c r="AF17" s="12">
        <v>2524.9499999999998</v>
      </c>
      <c r="AG17" s="12">
        <v>4</v>
      </c>
      <c r="AH17" s="12">
        <v>4</v>
      </c>
      <c r="AI17" s="12">
        <v>4</v>
      </c>
      <c r="AJ17" s="12">
        <v>4</v>
      </c>
      <c r="AK17" s="12">
        <v>4</v>
      </c>
      <c r="AL17" s="12">
        <v>4</v>
      </c>
      <c r="AM17" s="12">
        <v>4</v>
      </c>
      <c r="AN17" s="12">
        <v>4</v>
      </c>
      <c r="AO17" s="12">
        <v>4</v>
      </c>
      <c r="AP17" s="12">
        <v>3</v>
      </c>
      <c r="AQ17" s="12">
        <v>4</v>
      </c>
      <c r="AR17" s="12">
        <v>4</v>
      </c>
      <c r="AS17" s="12">
        <v>4</v>
      </c>
      <c r="AT17" s="12">
        <v>4</v>
      </c>
      <c r="AU17" s="12">
        <v>4</v>
      </c>
      <c r="AV17" s="12">
        <v>4</v>
      </c>
      <c r="AW17" s="12">
        <v>4</v>
      </c>
      <c r="AX17" s="12">
        <v>4</v>
      </c>
      <c r="AY17" s="12">
        <v>4</v>
      </c>
      <c r="AZ17" s="12">
        <v>4</v>
      </c>
      <c r="BA17" s="12">
        <v>4</v>
      </c>
      <c r="BB17" s="12">
        <v>4</v>
      </c>
      <c r="BC17" s="12">
        <v>19</v>
      </c>
      <c r="BD17" s="12">
        <v>4</v>
      </c>
      <c r="BE17" s="12">
        <v>4</v>
      </c>
      <c r="BF17" s="12">
        <v>4</v>
      </c>
      <c r="BG17" s="35">
        <v>4</v>
      </c>
      <c r="BH17" s="35">
        <v>4</v>
      </c>
      <c r="BI17" s="35">
        <v>4</v>
      </c>
      <c r="BJ17" s="35">
        <v>4</v>
      </c>
      <c r="BK17" s="35">
        <v>4</v>
      </c>
      <c r="BL17" s="35">
        <v>5</v>
      </c>
      <c r="BM17" s="35">
        <v>4</v>
      </c>
      <c r="BN17" s="35">
        <v>4</v>
      </c>
      <c r="BO17" s="35">
        <v>4</v>
      </c>
      <c r="BP17" s="38">
        <v>4</v>
      </c>
      <c r="BQ17" s="38">
        <v>4</v>
      </c>
    </row>
    <row r="18" spans="1:69" x14ac:dyDescent="0.25">
      <c r="A18" t="s">
        <v>215</v>
      </c>
      <c r="B18" s="12">
        <f>IF(B17=4,1,0)</f>
        <v>1</v>
      </c>
      <c r="C18" s="12">
        <f t="shared" ref="C18:AB18" si="4">IF(C17=4,1,0)</f>
        <v>1</v>
      </c>
      <c r="D18" s="12">
        <f t="shared" si="4"/>
        <v>1</v>
      </c>
      <c r="E18" s="12">
        <f t="shared" si="4"/>
        <v>0</v>
      </c>
      <c r="F18" s="12">
        <f t="shared" si="4"/>
        <v>1</v>
      </c>
      <c r="G18" s="12">
        <f t="shared" si="4"/>
        <v>1</v>
      </c>
      <c r="H18" s="12">
        <f t="shared" si="4"/>
        <v>1</v>
      </c>
      <c r="I18" s="12">
        <f t="shared" si="4"/>
        <v>1</v>
      </c>
      <c r="J18" s="12">
        <f t="shared" si="4"/>
        <v>1</v>
      </c>
      <c r="K18" s="12">
        <f t="shared" si="4"/>
        <v>1</v>
      </c>
      <c r="L18" s="12">
        <f t="shared" si="4"/>
        <v>1</v>
      </c>
      <c r="M18" s="12">
        <f t="shared" si="4"/>
        <v>1</v>
      </c>
      <c r="N18" s="12">
        <f t="shared" si="4"/>
        <v>1</v>
      </c>
      <c r="O18" s="12">
        <f t="shared" si="4"/>
        <v>0</v>
      </c>
      <c r="P18" s="12">
        <f t="shared" si="4"/>
        <v>0</v>
      </c>
      <c r="Q18" s="12">
        <f t="shared" si="4"/>
        <v>1</v>
      </c>
      <c r="R18" s="12">
        <f t="shared" si="4"/>
        <v>1</v>
      </c>
      <c r="S18" s="12">
        <f t="shared" si="4"/>
        <v>0</v>
      </c>
      <c r="T18" s="12">
        <f t="shared" si="4"/>
        <v>1</v>
      </c>
      <c r="U18" s="12">
        <f t="shared" si="4"/>
        <v>1</v>
      </c>
      <c r="V18" s="12">
        <f t="shared" si="4"/>
        <v>1</v>
      </c>
      <c r="W18" s="12">
        <f t="shared" si="4"/>
        <v>1</v>
      </c>
      <c r="X18" s="12">
        <f t="shared" si="4"/>
        <v>0</v>
      </c>
      <c r="Y18" s="12">
        <f t="shared" si="4"/>
        <v>1</v>
      </c>
      <c r="Z18" s="12">
        <f t="shared" si="4"/>
        <v>0</v>
      </c>
      <c r="AA18" s="12">
        <f t="shared" si="4"/>
        <v>1</v>
      </c>
      <c r="AB18" s="12">
        <f t="shared" si="4"/>
        <v>0</v>
      </c>
      <c r="AC18" s="12">
        <f>IF(AC17=4,1,0)</f>
        <v>0</v>
      </c>
      <c r="AD18" s="12">
        <f t="shared" ref="AD18:BF18" si="5">IF(AD17=4,1,0)</f>
        <v>1</v>
      </c>
      <c r="AE18" s="12">
        <f t="shared" si="5"/>
        <v>1</v>
      </c>
      <c r="AF18" s="12">
        <f t="shared" si="5"/>
        <v>0</v>
      </c>
      <c r="AG18" s="12">
        <f t="shared" si="5"/>
        <v>1</v>
      </c>
      <c r="AH18" s="12">
        <f t="shared" si="5"/>
        <v>1</v>
      </c>
      <c r="AI18" s="12">
        <f t="shared" si="5"/>
        <v>1</v>
      </c>
      <c r="AJ18" s="12">
        <f t="shared" si="5"/>
        <v>1</v>
      </c>
      <c r="AK18" s="12">
        <f t="shared" si="5"/>
        <v>1</v>
      </c>
      <c r="AL18" s="12">
        <f t="shared" si="5"/>
        <v>1</v>
      </c>
      <c r="AM18" s="12">
        <f t="shared" si="5"/>
        <v>1</v>
      </c>
      <c r="AN18" s="12">
        <f t="shared" si="5"/>
        <v>1</v>
      </c>
      <c r="AO18" s="12">
        <f t="shared" si="5"/>
        <v>1</v>
      </c>
      <c r="AP18" s="12">
        <f t="shared" si="5"/>
        <v>0</v>
      </c>
      <c r="AQ18" s="12">
        <f t="shared" si="5"/>
        <v>1</v>
      </c>
      <c r="AR18" s="12">
        <f t="shared" si="5"/>
        <v>1</v>
      </c>
      <c r="AS18" s="12">
        <f t="shared" si="5"/>
        <v>1</v>
      </c>
      <c r="AT18" s="12">
        <f t="shared" si="5"/>
        <v>1</v>
      </c>
      <c r="AU18" s="12">
        <f t="shared" si="5"/>
        <v>1</v>
      </c>
      <c r="AV18" s="12">
        <f t="shared" si="5"/>
        <v>1</v>
      </c>
      <c r="AW18" s="12">
        <f t="shared" si="5"/>
        <v>1</v>
      </c>
      <c r="AX18" s="12">
        <f t="shared" si="5"/>
        <v>1</v>
      </c>
      <c r="AY18" s="12">
        <f t="shared" si="5"/>
        <v>1</v>
      </c>
      <c r="AZ18" s="12">
        <f t="shared" si="5"/>
        <v>1</v>
      </c>
      <c r="BA18" s="12">
        <f t="shared" si="5"/>
        <v>1</v>
      </c>
      <c r="BB18" s="12">
        <f t="shared" si="5"/>
        <v>1</v>
      </c>
      <c r="BC18" s="12">
        <f t="shared" si="5"/>
        <v>0</v>
      </c>
      <c r="BD18" s="12">
        <f t="shared" si="5"/>
        <v>1</v>
      </c>
      <c r="BE18" s="12">
        <f t="shared" si="5"/>
        <v>1</v>
      </c>
      <c r="BF18" s="12">
        <f t="shared" si="5"/>
        <v>1</v>
      </c>
      <c r="BG18" s="35">
        <f t="shared" ref="BG18:BP18" si="6">IF(BG17=4,1,0)</f>
        <v>1</v>
      </c>
      <c r="BH18" s="35">
        <f t="shared" si="6"/>
        <v>1</v>
      </c>
      <c r="BI18" s="35">
        <f t="shared" si="6"/>
        <v>1</v>
      </c>
      <c r="BJ18" s="35">
        <f t="shared" si="6"/>
        <v>1</v>
      </c>
      <c r="BK18" s="35">
        <f t="shared" si="6"/>
        <v>1</v>
      </c>
      <c r="BL18" s="35">
        <f t="shared" si="6"/>
        <v>0</v>
      </c>
      <c r="BM18" s="35">
        <f t="shared" si="6"/>
        <v>1</v>
      </c>
      <c r="BN18" s="35">
        <f t="shared" si="6"/>
        <v>1</v>
      </c>
      <c r="BO18" s="35">
        <f t="shared" si="6"/>
        <v>1</v>
      </c>
      <c r="BP18" s="35">
        <f t="shared" si="6"/>
        <v>1</v>
      </c>
      <c r="BQ18" s="35">
        <f t="shared" ref="BQ18" si="7">IF(BQ17=4,1,0)</f>
        <v>1</v>
      </c>
    </row>
    <row r="19" spans="1:69" x14ac:dyDescent="0.25">
      <c r="A19" t="s">
        <v>216</v>
      </c>
      <c r="B19" s="12">
        <v>27</v>
      </c>
      <c r="C19" s="12">
        <v>47</v>
      </c>
      <c r="D19" s="12">
        <v>59</v>
      </c>
      <c r="E19" s="12">
        <v>503</v>
      </c>
      <c r="F19" s="12">
        <v>64</v>
      </c>
      <c r="G19" s="12">
        <v>40</v>
      </c>
      <c r="H19" s="12">
        <v>145</v>
      </c>
      <c r="I19" s="12">
        <v>42</v>
      </c>
      <c r="J19" s="12">
        <v>146</v>
      </c>
      <c r="K19" s="12">
        <v>108</v>
      </c>
      <c r="L19" s="12">
        <v>27</v>
      </c>
      <c r="M19" s="12">
        <v>181</v>
      </c>
      <c r="N19" s="12">
        <v>28</v>
      </c>
      <c r="O19" s="12">
        <v>13</v>
      </c>
      <c r="P19" s="12">
        <v>115</v>
      </c>
      <c r="Q19" s="12">
        <v>94</v>
      </c>
      <c r="R19" s="12">
        <v>65</v>
      </c>
      <c r="S19" s="12">
        <v>32</v>
      </c>
      <c r="T19" s="12">
        <v>209</v>
      </c>
      <c r="U19" s="12">
        <v>46</v>
      </c>
      <c r="V19" s="12">
        <v>145</v>
      </c>
      <c r="W19" s="12">
        <v>62</v>
      </c>
      <c r="X19" s="12">
        <v>43</v>
      </c>
      <c r="Y19" s="12">
        <v>20</v>
      </c>
      <c r="Z19" s="12">
        <v>76</v>
      </c>
      <c r="AA19" s="12">
        <v>63</v>
      </c>
      <c r="AB19" s="12">
        <v>25</v>
      </c>
      <c r="AC19" s="12">
        <v>49</v>
      </c>
      <c r="AD19" s="12">
        <v>18</v>
      </c>
      <c r="AE19" s="12">
        <v>10</v>
      </c>
      <c r="AF19" s="12">
        <v>339</v>
      </c>
      <c r="AG19" s="12">
        <v>60</v>
      </c>
      <c r="AH19" s="12">
        <v>29</v>
      </c>
      <c r="AI19" s="12">
        <v>15</v>
      </c>
      <c r="AJ19" s="12">
        <v>31</v>
      </c>
      <c r="AK19" s="12">
        <v>172</v>
      </c>
      <c r="AL19" s="12">
        <v>20</v>
      </c>
      <c r="AM19" s="12">
        <v>116</v>
      </c>
      <c r="AN19" s="12">
        <v>23</v>
      </c>
      <c r="AO19" s="12">
        <v>17</v>
      </c>
      <c r="AP19" s="12">
        <v>9</v>
      </c>
      <c r="AQ19" s="12">
        <v>43</v>
      </c>
      <c r="AR19" s="12">
        <v>12</v>
      </c>
      <c r="AS19" s="12">
        <v>23</v>
      </c>
      <c r="AT19" s="12">
        <v>11</v>
      </c>
      <c r="AU19" s="12">
        <v>56</v>
      </c>
      <c r="AV19" s="12">
        <v>98</v>
      </c>
      <c r="AW19" s="12">
        <v>55</v>
      </c>
      <c r="AX19" s="12">
        <v>367</v>
      </c>
      <c r="AY19" s="12">
        <v>145</v>
      </c>
      <c r="AZ19" s="12">
        <v>37</v>
      </c>
      <c r="BA19" s="12">
        <v>50</v>
      </c>
      <c r="BB19" s="12">
        <v>18</v>
      </c>
      <c r="BC19" s="12">
        <v>107</v>
      </c>
      <c r="BD19" s="12">
        <v>8</v>
      </c>
      <c r="BE19" s="12">
        <v>31</v>
      </c>
      <c r="BF19" s="12">
        <v>9</v>
      </c>
      <c r="BG19" s="35"/>
      <c r="BH19" s="35"/>
      <c r="BI19" s="35"/>
      <c r="BJ19" s="35"/>
      <c r="BK19" s="35"/>
      <c r="BL19" s="35"/>
      <c r="BM19" s="35"/>
      <c r="BN19" s="35">
        <v>14</v>
      </c>
      <c r="BO19" s="35">
        <v>179</v>
      </c>
      <c r="BP19" s="38">
        <v>21</v>
      </c>
      <c r="BQ19" s="38">
        <v>70</v>
      </c>
    </row>
    <row r="20" spans="1:69" x14ac:dyDescent="0.25">
      <c r="A20" t="s">
        <v>219</v>
      </c>
      <c r="B20" s="12">
        <v>6</v>
      </c>
      <c r="C20" s="12">
        <v>6</v>
      </c>
      <c r="D20" s="12">
        <v>6</v>
      </c>
      <c r="E20" s="12">
        <v>6</v>
      </c>
      <c r="F20" s="12">
        <v>6</v>
      </c>
      <c r="G20" s="12">
        <v>6</v>
      </c>
      <c r="H20" s="12">
        <v>6</v>
      </c>
      <c r="I20" s="12">
        <v>6</v>
      </c>
      <c r="J20" s="12">
        <v>6</v>
      </c>
      <c r="K20" s="12">
        <v>0.06</v>
      </c>
      <c r="L20" s="12">
        <v>0.06</v>
      </c>
      <c r="M20" s="12">
        <v>6</v>
      </c>
      <c r="N20" s="12">
        <v>0.06</v>
      </c>
      <c r="O20" s="18">
        <v>4</v>
      </c>
      <c r="P20" s="12">
        <v>6</v>
      </c>
      <c r="Q20" s="12">
        <v>6</v>
      </c>
      <c r="R20" s="12">
        <v>6</v>
      </c>
      <c r="S20" s="12">
        <v>4</v>
      </c>
      <c r="T20" s="12">
        <v>6</v>
      </c>
      <c r="U20" s="12">
        <v>6</v>
      </c>
      <c r="V20" s="12">
        <v>0.06</v>
      </c>
      <c r="W20" s="12">
        <v>6</v>
      </c>
      <c r="X20" s="12">
        <v>200</v>
      </c>
      <c r="Y20" s="12">
        <v>6</v>
      </c>
      <c r="Z20" s="12">
        <v>6</v>
      </c>
      <c r="AA20" s="12">
        <v>0.06</v>
      </c>
      <c r="AB20" s="12">
        <v>12</v>
      </c>
      <c r="AC20" s="12">
        <v>10</v>
      </c>
      <c r="AD20" s="12">
        <v>0.06</v>
      </c>
      <c r="AE20" s="12">
        <v>6</v>
      </c>
      <c r="AF20" s="12">
        <v>4</v>
      </c>
      <c r="AG20" s="12">
        <v>6</v>
      </c>
      <c r="AH20" s="12">
        <v>0.06</v>
      </c>
      <c r="AI20" s="12">
        <v>0.06</v>
      </c>
      <c r="AJ20" s="12">
        <v>0.06</v>
      </c>
      <c r="AK20" s="12">
        <v>6</v>
      </c>
      <c r="AL20" s="12">
        <v>6</v>
      </c>
      <c r="AM20" s="12">
        <v>6</v>
      </c>
      <c r="AN20" s="12">
        <v>6</v>
      </c>
      <c r="AO20" s="12">
        <v>0.06</v>
      </c>
      <c r="AP20" s="12">
        <v>9</v>
      </c>
      <c r="AQ20" s="12">
        <v>0.06</v>
      </c>
      <c r="AR20" s="12">
        <v>0.06</v>
      </c>
      <c r="AS20" s="12">
        <v>6</v>
      </c>
      <c r="AT20" s="12">
        <v>6</v>
      </c>
      <c r="AU20" s="12">
        <v>6</v>
      </c>
      <c r="AV20" s="12">
        <v>6</v>
      </c>
      <c r="AW20" s="12">
        <v>6</v>
      </c>
      <c r="AX20" s="12">
        <v>4</v>
      </c>
      <c r="AY20" s="12">
        <v>6</v>
      </c>
      <c r="AZ20" s="12">
        <v>0.06</v>
      </c>
      <c r="BA20" s="12">
        <v>6</v>
      </c>
      <c r="BB20" s="12">
        <v>6</v>
      </c>
      <c r="BC20" s="12">
        <v>6</v>
      </c>
      <c r="BD20" s="12">
        <v>6</v>
      </c>
      <c r="BE20" s="12">
        <v>6</v>
      </c>
      <c r="BF20" s="12">
        <v>6</v>
      </c>
      <c r="BG20" s="35">
        <v>6</v>
      </c>
      <c r="BH20" s="35">
        <v>6</v>
      </c>
      <c r="BI20" s="35">
        <v>6</v>
      </c>
      <c r="BJ20" s="35">
        <v>6</v>
      </c>
      <c r="BK20" s="35">
        <v>6</v>
      </c>
      <c r="BL20" s="35">
        <v>4</v>
      </c>
      <c r="BM20" s="35">
        <v>6</v>
      </c>
      <c r="BN20" s="35">
        <v>6</v>
      </c>
      <c r="BO20" s="35">
        <v>6</v>
      </c>
      <c r="BP20" s="38">
        <v>6</v>
      </c>
      <c r="BQ20" s="38">
        <v>6</v>
      </c>
    </row>
    <row r="21" spans="1:69" x14ac:dyDescent="0.25">
      <c r="A21" t="s">
        <v>221</v>
      </c>
      <c r="B21" s="12">
        <f>IF(B20=6,1,0)</f>
        <v>1</v>
      </c>
      <c r="C21" s="12">
        <f t="shared" ref="C21:Z21" si="8">IF(C20=6,1,0)</f>
        <v>1</v>
      </c>
      <c r="D21" s="12">
        <f t="shared" si="8"/>
        <v>1</v>
      </c>
      <c r="E21" s="12">
        <f t="shared" si="8"/>
        <v>1</v>
      </c>
      <c r="F21" s="12">
        <f t="shared" si="8"/>
        <v>1</v>
      </c>
      <c r="G21" s="12">
        <f t="shared" si="8"/>
        <v>1</v>
      </c>
      <c r="H21" s="12">
        <f t="shared" si="8"/>
        <v>1</v>
      </c>
      <c r="I21" s="12">
        <f t="shared" si="8"/>
        <v>1</v>
      </c>
      <c r="J21" s="12">
        <f t="shared" si="8"/>
        <v>1</v>
      </c>
      <c r="K21" s="12">
        <v>1</v>
      </c>
      <c r="L21" s="12">
        <v>1</v>
      </c>
      <c r="M21" s="12">
        <f t="shared" si="8"/>
        <v>1</v>
      </c>
      <c r="N21" s="12">
        <v>1</v>
      </c>
      <c r="O21" s="12">
        <f t="shared" si="8"/>
        <v>0</v>
      </c>
      <c r="P21" s="12">
        <f t="shared" si="8"/>
        <v>1</v>
      </c>
      <c r="Q21" s="12">
        <f t="shared" si="8"/>
        <v>1</v>
      </c>
      <c r="R21" s="12">
        <f t="shared" si="8"/>
        <v>1</v>
      </c>
      <c r="S21" s="12">
        <f t="shared" si="8"/>
        <v>0</v>
      </c>
      <c r="T21" s="12">
        <f t="shared" si="8"/>
        <v>1</v>
      </c>
      <c r="U21" s="12">
        <f t="shared" si="8"/>
        <v>1</v>
      </c>
      <c r="V21" s="12">
        <v>1</v>
      </c>
      <c r="W21" s="12">
        <f t="shared" si="8"/>
        <v>1</v>
      </c>
      <c r="X21" s="12">
        <f t="shared" si="8"/>
        <v>0</v>
      </c>
      <c r="Y21" s="12">
        <f t="shared" si="8"/>
        <v>1</v>
      </c>
      <c r="Z21" s="12">
        <f t="shared" si="8"/>
        <v>1</v>
      </c>
      <c r="AA21" s="12">
        <v>1</v>
      </c>
      <c r="AB21" s="12">
        <v>1</v>
      </c>
      <c r="AC21" s="12">
        <f>IF(AC20=6,1,0)</f>
        <v>0</v>
      </c>
      <c r="AD21" s="12">
        <f t="shared" ref="AD21:BF21" si="9">IF(AD20=6,1,0)</f>
        <v>0</v>
      </c>
      <c r="AE21" s="12">
        <f t="shared" si="9"/>
        <v>1</v>
      </c>
      <c r="AF21" s="12">
        <f t="shared" si="9"/>
        <v>0</v>
      </c>
      <c r="AG21" s="12">
        <f t="shared" si="9"/>
        <v>1</v>
      </c>
      <c r="AH21" s="12">
        <v>1</v>
      </c>
      <c r="AI21" s="12">
        <v>1</v>
      </c>
      <c r="AJ21" s="12">
        <v>1</v>
      </c>
      <c r="AK21" s="12">
        <f t="shared" si="9"/>
        <v>1</v>
      </c>
      <c r="AL21" s="12">
        <f t="shared" si="9"/>
        <v>1</v>
      </c>
      <c r="AM21" s="12">
        <f t="shared" si="9"/>
        <v>1</v>
      </c>
      <c r="AN21" s="12">
        <f t="shared" si="9"/>
        <v>1</v>
      </c>
      <c r="AO21" s="12">
        <v>1</v>
      </c>
      <c r="AP21" s="12">
        <f t="shared" si="9"/>
        <v>0</v>
      </c>
      <c r="AQ21" s="12">
        <v>1</v>
      </c>
      <c r="AR21" s="12">
        <v>1</v>
      </c>
      <c r="AS21" s="12">
        <f t="shared" si="9"/>
        <v>1</v>
      </c>
      <c r="AT21" s="12">
        <f t="shared" si="9"/>
        <v>1</v>
      </c>
      <c r="AU21" s="12">
        <f t="shared" si="9"/>
        <v>1</v>
      </c>
      <c r="AV21" s="12">
        <f t="shared" si="9"/>
        <v>1</v>
      </c>
      <c r="AW21" s="12">
        <f t="shared" si="9"/>
        <v>1</v>
      </c>
      <c r="AX21" s="12">
        <f t="shared" si="9"/>
        <v>0</v>
      </c>
      <c r="AY21" s="12">
        <f t="shared" si="9"/>
        <v>1</v>
      </c>
      <c r="AZ21" s="12">
        <v>1</v>
      </c>
      <c r="BA21" s="12">
        <f t="shared" si="9"/>
        <v>1</v>
      </c>
      <c r="BB21" s="12">
        <f t="shared" si="9"/>
        <v>1</v>
      </c>
      <c r="BC21" s="12">
        <f t="shared" si="9"/>
        <v>1</v>
      </c>
      <c r="BD21" s="12">
        <f t="shared" si="9"/>
        <v>1</v>
      </c>
      <c r="BE21" s="12">
        <f t="shared" si="9"/>
        <v>1</v>
      </c>
      <c r="BF21" s="12">
        <f t="shared" si="9"/>
        <v>1</v>
      </c>
      <c r="BG21" s="35">
        <f t="shared" ref="BG21:BP21" si="10">IF(BG20=6,1,0)</f>
        <v>1</v>
      </c>
      <c r="BH21" s="35">
        <f t="shared" si="10"/>
        <v>1</v>
      </c>
      <c r="BI21" s="35">
        <f t="shared" si="10"/>
        <v>1</v>
      </c>
      <c r="BJ21" s="35">
        <f t="shared" si="10"/>
        <v>1</v>
      </c>
      <c r="BK21" s="35">
        <f t="shared" si="10"/>
        <v>1</v>
      </c>
      <c r="BL21" s="35">
        <f t="shared" si="10"/>
        <v>0</v>
      </c>
      <c r="BM21" s="35">
        <f t="shared" si="10"/>
        <v>1</v>
      </c>
      <c r="BN21" s="35">
        <f t="shared" si="10"/>
        <v>1</v>
      </c>
      <c r="BO21" s="35">
        <f t="shared" si="10"/>
        <v>1</v>
      </c>
      <c r="BP21" s="35">
        <f t="shared" si="10"/>
        <v>1</v>
      </c>
      <c r="BQ21" s="35">
        <v>1</v>
      </c>
    </row>
    <row r="22" spans="1:69" x14ac:dyDescent="0.25">
      <c r="A22" t="s">
        <v>222</v>
      </c>
      <c r="B22" s="12">
        <v>8</v>
      </c>
      <c r="C22" s="12">
        <v>8</v>
      </c>
      <c r="D22" s="12">
        <v>9</v>
      </c>
      <c r="E22" s="12">
        <v>23</v>
      </c>
      <c r="F22" s="12">
        <v>9</v>
      </c>
      <c r="G22" s="12">
        <v>5</v>
      </c>
      <c r="H22" s="12">
        <v>51</v>
      </c>
      <c r="I22" s="12">
        <v>10</v>
      </c>
      <c r="J22" s="12">
        <v>13</v>
      </c>
      <c r="K22" s="12">
        <v>102</v>
      </c>
      <c r="L22" s="12">
        <v>13</v>
      </c>
      <c r="M22" s="12">
        <v>4</v>
      </c>
      <c r="N22" s="12">
        <v>22</v>
      </c>
      <c r="O22" s="12">
        <v>6</v>
      </c>
      <c r="P22" s="12">
        <v>13</v>
      </c>
      <c r="Q22" s="12">
        <v>6</v>
      </c>
      <c r="R22" s="12">
        <v>16</v>
      </c>
      <c r="S22" s="12">
        <v>5</v>
      </c>
      <c r="T22" s="12">
        <v>9</v>
      </c>
      <c r="U22" s="12">
        <v>8</v>
      </c>
      <c r="V22" s="12">
        <v>28</v>
      </c>
      <c r="W22" s="12">
        <v>23</v>
      </c>
      <c r="X22" s="12">
        <v>23</v>
      </c>
      <c r="Y22" s="12">
        <v>5</v>
      </c>
      <c r="Z22" s="12">
        <v>17</v>
      </c>
      <c r="AA22" s="12">
        <v>23</v>
      </c>
      <c r="AB22" s="12">
        <v>20</v>
      </c>
      <c r="AC22" s="12">
        <v>21</v>
      </c>
      <c r="AD22" s="12">
        <v>7</v>
      </c>
      <c r="AE22" s="12">
        <v>3</v>
      </c>
      <c r="AF22" s="12">
        <v>17</v>
      </c>
      <c r="AG22" s="12">
        <v>6</v>
      </c>
      <c r="AH22" s="12">
        <v>14</v>
      </c>
      <c r="AI22" s="12">
        <v>14</v>
      </c>
      <c r="AJ22" s="12">
        <v>20</v>
      </c>
      <c r="AK22" s="12">
        <v>6</v>
      </c>
      <c r="AL22" s="12">
        <v>5</v>
      </c>
      <c r="AM22" s="12">
        <v>24</v>
      </c>
      <c r="AN22" s="12">
        <v>5</v>
      </c>
      <c r="AO22" s="12">
        <v>131</v>
      </c>
      <c r="AP22" s="12">
        <v>5</v>
      </c>
      <c r="AQ22" s="12">
        <v>14</v>
      </c>
      <c r="AR22" s="12">
        <v>8</v>
      </c>
      <c r="AS22" s="12">
        <v>12</v>
      </c>
      <c r="AT22" s="12">
        <v>9</v>
      </c>
      <c r="AU22" s="12">
        <v>7</v>
      </c>
      <c r="AV22" s="12">
        <v>8</v>
      </c>
      <c r="AW22" s="12">
        <v>7</v>
      </c>
      <c r="AX22" s="12">
        <v>49</v>
      </c>
      <c r="AY22" s="12">
        <v>14</v>
      </c>
      <c r="AZ22" s="12">
        <v>7</v>
      </c>
      <c r="BA22" s="12">
        <v>15</v>
      </c>
      <c r="BB22" s="12">
        <v>11</v>
      </c>
      <c r="BC22" s="12">
        <v>11</v>
      </c>
      <c r="BD22" s="12">
        <v>3</v>
      </c>
      <c r="BE22" s="12">
        <v>5</v>
      </c>
      <c r="BF22" s="12">
        <v>4</v>
      </c>
      <c r="BG22" s="35"/>
      <c r="BH22" s="35"/>
      <c r="BI22" s="35"/>
      <c r="BJ22" s="35"/>
      <c r="BK22" s="35"/>
      <c r="BL22" s="35"/>
      <c r="BM22" s="35"/>
      <c r="BN22" s="35">
        <v>5</v>
      </c>
      <c r="BO22" s="35">
        <v>9</v>
      </c>
      <c r="BP22" s="38">
        <v>3</v>
      </c>
      <c r="BQ22" s="38">
        <v>24</v>
      </c>
    </row>
    <row r="23" spans="1:69" x14ac:dyDescent="0.25">
      <c r="A23" t="s">
        <v>225</v>
      </c>
      <c r="B23" s="12">
        <v>2000</v>
      </c>
      <c r="C23" s="12">
        <v>2000</v>
      </c>
      <c r="D23" s="12">
        <v>2000</v>
      </c>
      <c r="E23" s="12">
        <v>2000</v>
      </c>
      <c r="F23" s="12">
        <v>2000</v>
      </c>
      <c r="G23" s="12">
        <v>2000</v>
      </c>
      <c r="H23" s="12">
        <v>2000</v>
      </c>
      <c r="I23" s="12">
        <v>2000</v>
      </c>
      <c r="J23" s="12">
        <v>2000</v>
      </c>
      <c r="K23" s="12">
        <v>2000</v>
      </c>
      <c r="L23" s="12">
        <v>2000</v>
      </c>
      <c r="M23" s="12">
        <v>2000</v>
      </c>
      <c r="N23" s="12">
        <v>2000</v>
      </c>
      <c r="O23" s="18">
        <v>8</v>
      </c>
      <c r="P23" s="12">
        <v>2000</v>
      </c>
      <c r="Q23" s="12">
        <v>2000</v>
      </c>
      <c r="R23" s="12">
        <v>2000</v>
      </c>
      <c r="S23" s="12">
        <v>1000</v>
      </c>
      <c r="T23" s="12">
        <v>2000</v>
      </c>
      <c r="U23" s="12">
        <v>2000</v>
      </c>
      <c r="V23" s="12">
        <v>2000</v>
      </c>
      <c r="W23" s="12">
        <v>2000</v>
      </c>
      <c r="X23" s="12">
        <v>6</v>
      </c>
      <c r="Y23" s="12">
        <v>2000</v>
      </c>
      <c r="Z23" s="12">
        <v>2000</v>
      </c>
      <c r="AA23" s="12">
        <v>2000</v>
      </c>
      <c r="AB23" s="12">
        <v>1000</v>
      </c>
      <c r="AC23" s="12">
        <v>1000</v>
      </c>
      <c r="AD23" s="12">
        <v>2000</v>
      </c>
      <c r="AE23" s="12">
        <v>2000</v>
      </c>
      <c r="AF23" s="12">
        <v>2000</v>
      </c>
      <c r="AG23" s="12">
        <v>2000</v>
      </c>
      <c r="AH23" s="12">
        <v>2000</v>
      </c>
      <c r="AI23" s="12">
        <v>2000</v>
      </c>
      <c r="AJ23" s="12">
        <v>2000</v>
      </c>
      <c r="AK23" s="12">
        <v>2000</v>
      </c>
      <c r="AL23" s="12">
        <v>2000</v>
      </c>
      <c r="AM23" s="12">
        <v>2000</v>
      </c>
      <c r="AN23" s="12">
        <v>1980.23</v>
      </c>
      <c r="AO23" s="12">
        <v>2000</v>
      </c>
      <c r="AP23" s="12">
        <v>10000</v>
      </c>
      <c r="AQ23" s="12">
        <v>2000</v>
      </c>
      <c r="AR23" s="12">
        <v>2000</v>
      </c>
      <c r="AS23" s="12">
        <v>2000</v>
      </c>
      <c r="AT23" s="12">
        <v>2000</v>
      </c>
      <c r="AU23" s="12">
        <v>2000</v>
      </c>
      <c r="AV23" s="12">
        <v>2000</v>
      </c>
      <c r="AW23" s="12">
        <v>2000</v>
      </c>
      <c r="AX23" s="12">
        <v>2000</v>
      </c>
      <c r="AY23" s="12">
        <v>2000</v>
      </c>
      <c r="AZ23" s="12">
        <v>2000</v>
      </c>
      <c r="BA23" s="12">
        <v>2000</v>
      </c>
      <c r="BB23" s="12">
        <v>2000</v>
      </c>
      <c r="BC23" s="12">
        <v>2000</v>
      </c>
      <c r="BD23" s="12">
        <v>1980.23</v>
      </c>
      <c r="BE23" s="12">
        <v>2000</v>
      </c>
      <c r="BF23" s="12">
        <v>2000</v>
      </c>
      <c r="BG23" s="35">
        <v>2524.9499999999998</v>
      </c>
      <c r="BH23" s="35">
        <v>2000</v>
      </c>
      <c r="BI23" s="35">
        <v>1980.23</v>
      </c>
      <c r="BJ23" s="35">
        <v>2000</v>
      </c>
      <c r="BK23" s="35">
        <v>2000</v>
      </c>
      <c r="BL23" s="35">
        <v>2000</v>
      </c>
      <c r="BM23" s="35">
        <v>2000</v>
      </c>
      <c r="BN23" s="35">
        <v>2000</v>
      </c>
      <c r="BO23" s="35">
        <v>2000</v>
      </c>
      <c r="BP23" s="38">
        <v>2000</v>
      </c>
      <c r="BQ23" s="38">
        <v>2000</v>
      </c>
    </row>
    <row r="24" spans="1:69" x14ac:dyDescent="0.25">
      <c r="A24" t="s">
        <v>229</v>
      </c>
      <c r="B24" s="12">
        <f>IF(B23=2000,1,0)</f>
        <v>1</v>
      </c>
      <c r="C24" s="12">
        <f t="shared" ref="C24:AB24" si="11">IF(C23=2000,1,0)</f>
        <v>1</v>
      </c>
      <c r="D24" s="12">
        <f t="shared" si="11"/>
        <v>1</v>
      </c>
      <c r="E24" s="12">
        <f t="shared" si="11"/>
        <v>1</v>
      </c>
      <c r="F24" s="12">
        <f t="shared" si="11"/>
        <v>1</v>
      </c>
      <c r="G24" s="12">
        <f t="shared" si="11"/>
        <v>1</v>
      </c>
      <c r="H24" s="12">
        <f t="shared" si="11"/>
        <v>1</v>
      </c>
      <c r="I24" s="12">
        <f t="shared" si="11"/>
        <v>1</v>
      </c>
      <c r="J24" s="12">
        <f t="shared" si="11"/>
        <v>1</v>
      </c>
      <c r="K24" s="12">
        <f t="shared" si="11"/>
        <v>1</v>
      </c>
      <c r="L24" s="12">
        <f t="shared" si="11"/>
        <v>1</v>
      </c>
      <c r="M24" s="12">
        <f t="shared" si="11"/>
        <v>1</v>
      </c>
      <c r="N24" s="12">
        <f t="shared" si="11"/>
        <v>1</v>
      </c>
      <c r="O24" s="12">
        <f t="shared" si="11"/>
        <v>0</v>
      </c>
      <c r="P24" s="12">
        <f t="shared" si="11"/>
        <v>1</v>
      </c>
      <c r="Q24" s="12">
        <f t="shared" si="11"/>
        <v>1</v>
      </c>
      <c r="R24" s="12">
        <f t="shared" si="11"/>
        <v>1</v>
      </c>
      <c r="S24" s="12">
        <f t="shared" si="11"/>
        <v>0</v>
      </c>
      <c r="T24" s="12">
        <f t="shared" si="11"/>
        <v>1</v>
      </c>
      <c r="U24" s="12">
        <f t="shared" si="11"/>
        <v>1</v>
      </c>
      <c r="V24" s="12">
        <f t="shared" si="11"/>
        <v>1</v>
      </c>
      <c r="W24" s="12">
        <f t="shared" si="11"/>
        <v>1</v>
      </c>
      <c r="X24" s="12">
        <f t="shared" si="11"/>
        <v>0</v>
      </c>
      <c r="Y24" s="12">
        <f t="shared" si="11"/>
        <v>1</v>
      </c>
      <c r="Z24" s="12">
        <f t="shared" si="11"/>
        <v>1</v>
      </c>
      <c r="AA24" s="12">
        <f t="shared" si="11"/>
        <v>1</v>
      </c>
      <c r="AB24" s="12">
        <f t="shared" si="11"/>
        <v>0</v>
      </c>
      <c r="AC24" s="12">
        <f>IF(AC23=2000,1,0)</f>
        <v>0</v>
      </c>
      <c r="AD24" s="12">
        <f t="shared" ref="AD24:BF24" si="12">IF(AD23=2000,1,0)</f>
        <v>1</v>
      </c>
      <c r="AE24" s="12">
        <f t="shared" si="12"/>
        <v>1</v>
      </c>
      <c r="AF24" s="12">
        <f t="shared" si="12"/>
        <v>1</v>
      </c>
      <c r="AG24" s="12">
        <f t="shared" si="12"/>
        <v>1</v>
      </c>
      <c r="AH24" s="12">
        <f t="shared" si="12"/>
        <v>1</v>
      </c>
      <c r="AI24" s="12">
        <f t="shared" si="12"/>
        <v>1</v>
      </c>
      <c r="AJ24" s="12">
        <f t="shared" si="12"/>
        <v>1</v>
      </c>
      <c r="AK24" s="12">
        <f t="shared" si="12"/>
        <v>1</v>
      </c>
      <c r="AL24" s="12">
        <f t="shared" si="12"/>
        <v>1</v>
      </c>
      <c r="AM24" s="12">
        <f t="shared" si="12"/>
        <v>1</v>
      </c>
      <c r="AN24" s="12">
        <f t="shared" si="12"/>
        <v>0</v>
      </c>
      <c r="AO24" s="12">
        <f t="shared" si="12"/>
        <v>1</v>
      </c>
      <c r="AP24" s="12">
        <f t="shared" si="12"/>
        <v>0</v>
      </c>
      <c r="AQ24" s="12">
        <f t="shared" si="12"/>
        <v>1</v>
      </c>
      <c r="AR24" s="12">
        <f t="shared" si="12"/>
        <v>1</v>
      </c>
      <c r="AS24" s="12">
        <f t="shared" si="12"/>
        <v>1</v>
      </c>
      <c r="AT24" s="12">
        <f t="shared" si="12"/>
        <v>1</v>
      </c>
      <c r="AU24" s="12">
        <f t="shared" si="12"/>
        <v>1</v>
      </c>
      <c r="AV24" s="12">
        <f t="shared" si="12"/>
        <v>1</v>
      </c>
      <c r="AW24" s="12">
        <f t="shared" si="12"/>
        <v>1</v>
      </c>
      <c r="AX24" s="12">
        <f t="shared" si="12"/>
        <v>1</v>
      </c>
      <c r="AY24" s="12">
        <f t="shared" si="12"/>
        <v>1</v>
      </c>
      <c r="AZ24" s="12">
        <f t="shared" si="12"/>
        <v>1</v>
      </c>
      <c r="BA24" s="12">
        <f t="shared" si="12"/>
        <v>1</v>
      </c>
      <c r="BB24" s="12">
        <f t="shared" si="12"/>
        <v>1</v>
      </c>
      <c r="BC24" s="12">
        <f t="shared" si="12"/>
        <v>1</v>
      </c>
      <c r="BD24" s="12">
        <f t="shared" si="12"/>
        <v>0</v>
      </c>
      <c r="BE24" s="12">
        <f t="shared" si="12"/>
        <v>1</v>
      </c>
      <c r="BF24" s="12">
        <f t="shared" si="12"/>
        <v>1</v>
      </c>
      <c r="BG24" s="35">
        <f t="shared" ref="BG24:BP24" si="13">IF(BG23=2000,1,0)</f>
        <v>0</v>
      </c>
      <c r="BH24" s="35">
        <f t="shared" si="13"/>
        <v>1</v>
      </c>
      <c r="BI24" s="35">
        <f t="shared" si="13"/>
        <v>0</v>
      </c>
      <c r="BJ24" s="35">
        <f t="shared" si="13"/>
        <v>1</v>
      </c>
      <c r="BK24" s="35">
        <f t="shared" si="13"/>
        <v>1</v>
      </c>
      <c r="BL24" s="35">
        <f t="shared" si="13"/>
        <v>1</v>
      </c>
      <c r="BM24" s="35">
        <f t="shared" si="13"/>
        <v>1</v>
      </c>
      <c r="BN24" s="35">
        <f t="shared" si="13"/>
        <v>1</v>
      </c>
      <c r="BO24" s="35">
        <f t="shared" si="13"/>
        <v>1</v>
      </c>
      <c r="BP24" s="35">
        <f t="shared" si="13"/>
        <v>1</v>
      </c>
      <c r="BQ24" s="35">
        <f t="shared" ref="BQ24" si="14">IF(BQ23=2000,1,0)</f>
        <v>1</v>
      </c>
    </row>
    <row r="25" spans="1:69" x14ac:dyDescent="0.25">
      <c r="A25" t="s">
        <v>230</v>
      </c>
      <c r="B25" s="12">
        <v>8</v>
      </c>
      <c r="C25" s="12">
        <v>10</v>
      </c>
      <c r="D25" s="12">
        <v>8</v>
      </c>
      <c r="E25" s="12">
        <v>15</v>
      </c>
      <c r="F25" s="12">
        <v>13</v>
      </c>
      <c r="G25" s="12">
        <v>12</v>
      </c>
      <c r="H25" s="12">
        <v>29</v>
      </c>
      <c r="I25" s="12">
        <v>49</v>
      </c>
      <c r="J25" s="12">
        <v>32</v>
      </c>
      <c r="K25" s="12">
        <v>13</v>
      </c>
      <c r="L25" s="12">
        <v>7</v>
      </c>
      <c r="M25" s="12">
        <v>7</v>
      </c>
      <c r="N25" s="12">
        <v>5</v>
      </c>
      <c r="O25" s="12">
        <v>4</v>
      </c>
      <c r="P25" s="12">
        <v>36</v>
      </c>
      <c r="Q25" s="12">
        <v>17</v>
      </c>
      <c r="R25" s="12">
        <v>9</v>
      </c>
      <c r="S25" s="12">
        <v>20</v>
      </c>
      <c r="T25" s="12">
        <v>7</v>
      </c>
      <c r="U25" s="12">
        <v>14</v>
      </c>
      <c r="V25" s="12">
        <v>13</v>
      </c>
      <c r="W25" s="12">
        <v>21</v>
      </c>
      <c r="X25" s="12">
        <v>7</v>
      </c>
      <c r="Y25" s="12">
        <v>12</v>
      </c>
      <c r="Z25" s="12">
        <v>10</v>
      </c>
      <c r="AA25" s="12">
        <v>16</v>
      </c>
      <c r="AB25" s="12">
        <v>19</v>
      </c>
      <c r="AC25" s="12">
        <v>51</v>
      </c>
      <c r="AD25" s="12">
        <v>10</v>
      </c>
      <c r="AE25" s="12">
        <v>10</v>
      </c>
      <c r="AF25" s="12">
        <v>37</v>
      </c>
      <c r="AG25" s="12">
        <v>9</v>
      </c>
      <c r="AH25" s="12">
        <v>16</v>
      </c>
      <c r="AI25" s="12">
        <v>29</v>
      </c>
      <c r="AJ25" s="12">
        <v>12</v>
      </c>
      <c r="AK25" s="12">
        <v>11</v>
      </c>
      <c r="AL25" s="12">
        <v>19</v>
      </c>
      <c r="AM25" s="12">
        <v>9</v>
      </c>
      <c r="AN25" s="12">
        <v>43</v>
      </c>
      <c r="AO25" s="12">
        <v>35</v>
      </c>
      <c r="AP25" s="12">
        <v>8</v>
      </c>
      <c r="AQ25" s="12">
        <v>10</v>
      </c>
      <c r="AR25" s="12">
        <v>13</v>
      </c>
      <c r="AS25" s="12">
        <v>26</v>
      </c>
      <c r="AT25" s="12">
        <v>15</v>
      </c>
      <c r="AU25" s="12">
        <v>10</v>
      </c>
      <c r="AV25" s="12">
        <v>10</v>
      </c>
      <c r="AW25" s="12">
        <v>17</v>
      </c>
      <c r="AX25" s="12">
        <v>7</v>
      </c>
      <c r="AY25" s="12">
        <v>15</v>
      </c>
      <c r="AZ25" s="12">
        <v>41</v>
      </c>
      <c r="BA25" s="12">
        <v>61</v>
      </c>
      <c r="BB25" s="12">
        <v>15</v>
      </c>
      <c r="BC25" s="12">
        <v>7</v>
      </c>
      <c r="BD25" s="12">
        <v>14</v>
      </c>
      <c r="BE25" s="12">
        <v>22</v>
      </c>
      <c r="BF25" s="12">
        <v>5</v>
      </c>
      <c r="BG25" s="35"/>
      <c r="BH25" s="35"/>
      <c r="BI25" s="35"/>
      <c r="BJ25" s="35"/>
      <c r="BK25" s="35"/>
      <c r="BL25" s="35"/>
      <c r="BM25" s="35"/>
      <c r="BN25" s="35">
        <v>8</v>
      </c>
      <c r="BO25" s="35">
        <v>10</v>
      </c>
      <c r="BP25" s="38">
        <v>5</v>
      </c>
      <c r="BQ25" s="38">
        <v>16</v>
      </c>
    </row>
    <row r="26" spans="1:69" x14ac:dyDescent="0.25">
      <c r="A26" t="s">
        <v>231</v>
      </c>
      <c r="B26" s="12">
        <v>2524.9499999999998</v>
      </c>
      <c r="C26" s="12">
        <v>2524.9499999999998</v>
      </c>
      <c r="D26" s="12">
        <v>2524.9499999999998</v>
      </c>
      <c r="E26" s="12">
        <v>2500</v>
      </c>
      <c r="F26" s="12">
        <v>2524.9499999999998</v>
      </c>
      <c r="G26" s="12">
        <v>2524.9499999999998</v>
      </c>
      <c r="H26" s="12">
        <v>2524.9499999999998</v>
      </c>
      <c r="I26" s="12">
        <v>2524.9499999999998</v>
      </c>
      <c r="J26" s="12">
        <v>2500</v>
      </c>
      <c r="K26" s="12">
        <v>8480</v>
      </c>
      <c r="L26" s="12">
        <v>2524.9499999999998</v>
      </c>
      <c r="M26" s="12">
        <v>2524.9499999999998</v>
      </c>
      <c r="N26" s="12">
        <v>2524.9499999999998</v>
      </c>
      <c r="O26" s="18">
        <v>2524.9499999999998</v>
      </c>
      <c r="P26" s="12">
        <v>2524.9499999999998</v>
      </c>
      <c r="Q26" s="12">
        <v>2500</v>
      </c>
      <c r="R26" s="12">
        <v>2500</v>
      </c>
      <c r="S26" s="12">
        <v>2454.9499999999998</v>
      </c>
      <c r="T26" s="12">
        <v>2500</v>
      </c>
      <c r="U26" s="12">
        <v>2524.9499999999998</v>
      </c>
      <c r="V26" s="12">
        <v>2524.9499999999998</v>
      </c>
      <c r="W26" s="12">
        <v>2524.9499999999998</v>
      </c>
      <c r="X26" s="12">
        <v>2938</v>
      </c>
      <c r="Y26" s="12">
        <v>2621.59</v>
      </c>
      <c r="Z26" s="12">
        <v>2500</v>
      </c>
      <c r="AA26" s="12">
        <v>2480</v>
      </c>
      <c r="AB26" s="12">
        <v>2200</v>
      </c>
      <c r="AC26" s="12">
        <v>2331</v>
      </c>
      <c r="AD26" s="12">
        <v>2524.9499999999998</v>
      </c>
      <c r="AE26" s="12">
        <v>6700</v>
      </c>
      <c r="AF26" s="12">
        <v>2524.9499999999998</v>
      </c>
      <c r="AG26" s="12">
        <v>2524.9499999999998</v>
      </c>
      <c r="AH26" s="12">
        <v>2524.9499999999998</v>
      </c>
      <c r="AI26" s="12">
        <v>2524.9499999999998</v>
      </c>
      <c r="AJ26" s="12">
        <v>2524.9499999999998</v>
      </c>
      <c r="AK26" s="12">
        <v>2524.9499999999998</v>
      </c>
      <c r="AL26" s="12">
        <v>2524.9499999999998</v>
      </c>
      <c r="AM26" s="12">
        <v>2525</v>
      </c>
      <c r="AN26" s="12">
        <v>2524.9499999999998</v>
      </c>
      <c r="AO26" s="12">
        <v>2524.9499999999998</v>
      </c>
      <c r="AP26" s="12">
        <v>22000</v>
      </c>
      <c r="AQ26" s="12">
        <v>2524.9499999999998</v>
      </c>
      <c r="AR26" s="12">
        <v>2525</v>
      </c>
      <c r="AS26" s="12">
        <v>2480</v>
      </c>
      <c r="AT26" s="12">
        <v>2524.9499999999998</v>
      </c>
      <c r="AU26" s="12">
        <v>2524.9499999999998</v>
      </c>
      <c r="AV26" s="12">
        <v>1802000</v>
      </c>
      <c r="AW26" s="12">
        <v>2500</v>
      </c>
      <c r="AX26" s="12">
        <v>2500</v>
      </c>
      <c r="AY26" s="12">
        <v>13109.2</v>
      </c>
      <c r="AZ26" s="12">
        <v>2524.9499999999998</v>
      </c>
      <c r="BA26" s="12">
        <v>2500</v>
      </c>
      <c r="BB26" s="12">
        <v>2525</v>
      </c>
      <c r="BC26" s="12">
        <v>2520</v>
      </c>
      <c r="BD26" s="12">
        <v>2524.9499999999998</v>
      </c>
      <c r="BE26" s="12">
        <v>2025</v>
      </c>
      <c r="BF26" s="12">
        <v>2524.9499999999998</v>
      </c>
      <c r="BG26" s="35">
        <v>2524.9499999999998</v>
      </c>
      <c r="BH26" s="35">
        <v>2524.9499999999998</v>
      </c>
      <c r="BI26" s="35">
        <v>2524</v>
      </c>
      <c r="BJ26" s="35">
        <v>2524.9499999999998</v>
      </c>
      <c r="BK26" s="35">
        <v>2500</v>
      </c>
      <c r="BL26" s="35">
        <v>2525</v>
      </c>
      <c r="BM26" s="35">
        <v>2500</v>
      </c>
      <c r="BN26" s="35">
        <v>2524.9499999999998</v>
      </c>
      <c r="BO26" s="35">
        <v>2524.9499999999998</v>
      </c>
      <c r="BP26" s="38">
        <v>2524.9499999999998</v>
      </c>
      <c r="BQ26" s="38">
        <v>2524.9499999999998</v>
      </c>
    </row>
    <row r="27" spans="1:69" x14ac:dyDescent="0.25">
      <c r="A27" t="s">
        <v>233</v>
      </c>
      <c r="B27" s="12">
        <f>IF(B26=2524.95,1,0)</f>
        <v>1</v>
      </c>
      <c r="C27" s="12">
        <f t="shared" ref="C27:AB27" si="15">IF(C26=2524.95,1,0)</f>
        <v>1</v>
      </c>
      <c r="D27" s="12">
        <f t="shared" si="15"/>
        <v>1</v>
      </c>
      <c r="E27" s="12">
        <f t="shared" si="15"/>
        <v>0</v>
      </c>
      <c r="F27" s="12">
        <f t="shared" si="15"/>
        <v>1</v>
      </c>
      <c r="G27" s="12">
        <f t="shared" si="15"/>
        <v>1</v>
      </c>
      <c r="H27" s="12">
        <f t="shared" si="15"/>
        <v>1</v>
      </c>
      <c r="I27" s="12">
        <f t="shared" si="15"/>
        <v>1</v>
      </c>
      <c r="J27" s="12">
        <f t="shared" si="15"/>
        <v>0</v>
      </c>
      <c r="K27" s="12">
        <f t="shared" si="15"/>
        <v>0</v>
      </c>
      <c r="L27" s="12">
        <f t="shared" si="15"/>
        <v>1</v>
      </c>
      <c r="M27" s="12">
        <f t="shared" si="15"/>
        <v>1</v>
      </c>
      <c r="N27" s="12">
        <f t="shared" si="15"/>
        <v>1</v>
      </c>
      <c r="O27" s="12">
        <f t="shared" si="15"/>
        <v>1</v>
      </c>
      <c r="P27" s="12">
        <f t="shared" si="15"/>
        <v>1</v>
      </c>
      <c r="Q27" s="12">
        <f t="shared" si="15"/>
        <v>0</v>
      </c>
      <c r="R27" s="12">
        <f t="shared" si="15"/>
        <v>0</v>
      </c>
      <c r="S27" s="12">
        <f t="shared" si="15"/>
        <v>0</v>
      </c>
      <c r="T27" s="12">
        <f t="shared" si="15"/>
        <v>0</v>
      </c>
      <c r="U27" s="12">
        <f t="shared" si="15"/>
        <v>1</v>
      </c>
      <c r="V27" s="12">
        <f t="shared" si="15"/>
        <v>1</v>
      </c>
      <c r="W27" s="12">
        <f t="shared" si="15"/>
        <v>1</v>
      </c>
      <c r="X27" s="12">
        <f t="shared" si="15"/>
        <v>0</v>
      </c>
      <c r="Y27" s="12">
        <f t="shared" si="15"/>
        <v>0</v>
      </c>
      <c r="Z27" s="12">
        <f t="shared" si="15"/>
        <v>0</v>
      </c>
      <c r="AA27" s="12">
        <f t="shared" si="15"/>
        <v>0</v>
      </c>
      <c r="AB27" s="12">
        <f t="shared" si="15"/>
        <v>0</v>
      </c>
      <c r="AC27" s="12">
        <f>IF(AC26=2524.95,1,0)</f>
        <v>0</v>
      </c>
      <c r="AD27" s="12">
        <f t="shared" ref="AD27:BF27" si="16">IF(AD26=2524.95,1,0)</f>
        <v>1</v>
      </c>
      <c r="AE27" s="12">
        <f t="shared" si="16"/>
        <v>0</v>
      </c>
      <c r="AF27" s="12">
        <f t="shared" si="16"/>
        <v>1</v>
      </c>
      <c r="AG27" s="12">
        <f t="shared" si="16"/>
        <v>1</v>
      </c>
      <c r="AH27" s="12">
        <f t="shared" si="16"/>
        <v>1</v>
      </c>
      <c r="AI27" s="12">
        <f t="shared" si="16"/>
        <v>1</v>
      </c>
      <c r="AJ27" s="12">
        <f t="shared" si="16"/>
        <v>1</v>
      </c>
      <c r="AK27" s="12">
        <f t="shared" si="16"/>
        <v>1</v>
      </c>
      <c r="AL27" s="12">
        <f t="shared" si="16"/>
        <v>1</v>
      </c>
      <c r="AM27" s="12">
        <v>1</v>
      </c>
      <c r="AN27" s="12">
        <f t="shared" si="16"/>
        <v>1</v>
      </c>
      <c r="AO27" s="12">
        <f t="shared" si="16"/>
        <v>1</v>
      </c>
      <c r="AP27" s="12">
        <f t="shared" si="16"/>
        <v>0</v>
      </c>
      <c r="AQ27" s="12">
        <f t="shared" si="16"/>
        <v>1</v>
      </c>
      <c r="AR27" s="12">
        <v>1</v>
      </c>
      <c r="AS27" s="12">
        <f t="shared" si="16"/>
        <v>0</v>
      </c>
      <c r="AT27" s="12">
        <f t="shared" si="16"/>
        <v>1</v>
      </c>
      <c r="AU27" s="12">
        <f t="shared" si="16"/>
        <v>1</v>
      </c>
      <c r="AV27" s="12">
        <f t="shared" si="16"/>
        <v>0</v>
      </c>
      <c r="AW27" s="12">
        <f t="shared" si="16"/>
        <v>0</v>
      </c>
      <c r="AX27" s="12">
        <f t="shared" si="16"/>
        <v>0</v>
      </c>
      <c r="AY27" s="12">
        <f t="shared" si="16"/>
        <v>0</v>
      </c>
      <c r="AZ27" s="12">
        <f t="shared" si="16"/>
        <v>1</v>
      </c>
      <c r="BA27" s="12">
        <f t="shared" si="16"/>
        <v>0</v>
      </c>
      <c r="BB27" s="12">
        <f t="shared" si="16"/>
        <v>0</v>
      </c>
      <c r="BC27" s="12">
        <f t="shared" si="16"/>
        <v>0</v>
      </c>
      <c r="BD27" s="12">
        <f t="shared" si="16"/>
        <v>1</v>
      </c>
      <c r="BE27" s="12">
        <f t="shared" si="16"/>
        <v>0</v>
      </c>
      <c r="BF27" s="12">
        <f t="shared" si="16"/>
        <v>1</v>
      </c>
      <c r="BG27" s="35">
        <f t="shared" ref="BG27:BP27" si="17">IF(BG26=2524.95,1,0)</f>
        <v>1</v>
      </c>
      <c r="BH27" s="35">
        <f t="shared" si="17"/>
        <v>1</v>
      </c>
      <c r="BI27" s="35">
        <v>1</v>
      </c>
      <c r="BJ27" s="35">
        <f t="shared" si="17"/>
        <v>1</v>
      </c>
      <c r="BK27" s="35">
        <f t="shared" si="17"/>
        <v>0</v>
      </c>
      <c r="BL27" s="35">
        <v>1</v>
      </c>
      <c r="BM27" s="35">
        <f t="shared" si="17"/>
        <v>0</v>
      </c>
      <c r="BN27" s="35">
        <f t="shared" si="17"/>
        <v>1</v>
      </c>
      <c r="BO27" s="35">
        <f t="shared" si="17"/>
        <v>1</v>
      </c>
      <c r="BP27" s="35">
        <f t="shared" si="17"/>
        <v>1</v>
      </c>
      <c r="BQ27" s="35">
        <f t="shared" ref="BQ27" si="18">IF(BQ26=2524.95,1,0)</f>
        <v>1</v>
      </c>
    </row>
    <row r="28" spans="1:69" x14ac:dyDescent="0.25">
      <c r="A28" t="s">
        <v>234</v>
      </c>
      <c r="B28" s="12">
        <v>128</v>
      </c>
      <c r="C28" s="12">
        <v>56</v>
      </c>
      <c r="D28" s="12">
        <v>17</v>
      </c>
      <c r="E28" s="12">
        <v>9</v>
      </c>
      <c r="F28" s="12">
        <v>117</v>
      </c>
      <c r="G28" s="12">
        <v>46</v>
      </c>
      <c r="H28" s="12">
        <v>269</v>
      </c>
      <c r="I28" s="12">
        <v>290</v>
      </c>
      <c r="J28" s="12">
        <v>104</v>
      </c>
      <c r="K28" s="12">
        <v>276</v>
      </c>
      <c r="L28" s="12">
        <v>104</v>
      </c>
      <c r="M28" s="12">
        <v>34</v>
      </c>
      <c r="N28" s="12">
        <v>28</v>
      </c>
      <c r="O28" s="12">
        <v>124</v>
      </c>
      <c r="P28" s="12">
        <v>11</v>
      </c>
      <c r="Q28" s="12">
        <v>15</v>
      </c>
      <c r="R28" s="12">
        <v>6</v>
      </c>
      <c r="S28" s="12">
        <v>27</v>
      </c>
      <c r="T28" s="12">
        <v>7</v>
      </c>
      <c r="U28" s="12">
        <v>153</v>
      </c>
      <c r="V28" s="12">
        <v>18</v>
      </c>
      <c r="W28" s="12">
        <v>66</v>
      </c>
      <c r="X28" s="12">
        <v>213</v>
      </c>
      <c r="Y28" s="12">
        <v>149</v>
      </c>
      <c r="Z28" s="12">
        <v>5</v>
      </c>
      <c r="AA28" s="12">
        <v>66</v>
      </c>
      <c r="AB28" s="12">
        <v>40</v>
      </c>
      <c r="AC28" s="12">
        <v>28</v>
      </c>
      <c r="AD28" s="12">
        <v>35</v>
      </c>
      <c r="AE28" s="12">
        <v>8</v>
      </c>
      <c r="AF28" s="12">
        <v>15</v>
      </c>
      <c r="AG28" s="12">
        <v>51</v>
      </c>
      <c r="AH28" s="12">
        <v>30</v>
      </c>
      <c r="AI28" s="12">
        <v>811</v>
      </c>
      <c r="AJ28" s="12">
        <v>34</v>
      </c>
      <c r="AK28" s="12">
        <v>20</v>
      </c>
      <c r="AL28" s="12">
        <v>35</v>
      </c>
      <c r="AM28" s="12">
        <v>31</v>
      </c>
      <c r="AN28" s="12">
        <v>56</v>
      </c>
      <c r="AO28" s="12">
        <v>54</v>
      </c>
      <c r="AP28" s="12">
        <v>15</v>
      </c>
      <c r="AQ28" s="12">
        <v>25</v>
      </c>
      <c r="AR28" s="12">
        <v>22</v>
      </c>
      <c r="AS28" s="12">
        <v>418</v>
      </c>
      <c r="AT28" s="12">
        <v>33</v>
      </c>
      <c r="AU28" s="12">
        <v>25</v>
      </c>
      <c r="AV28" s="12">
        <v>30</v>
      </c>
      <c r="AW28" s="12">
        <v>4</v>
      </c>
      <c r="AX28" s="12">
        <v>9</v>
      </c>
      <c r="AY28" s="12">
        <v>66</v>
      </c>
      <c r="AZ28" s="12">
        <v>32</v>
      </c>
      <c r="BA28" s="12">
        <v>10</v>
      </c>
      <c r="BB28" s="12">
        <v>102</v>
      </c>
      <c r="BC28" s="12">
        <v>35</v>
      </c>
      <c r="BD28" s="12">
        <v>26</v>
      </c>
      <c r="BE28" s="12">
        <v>102</v>
      </c>
      <c r="BF28" s="12">
        <v>13</v>
      </c>
      <c r="BG28" s="35"/>
      <c r="BH28" s="35"/>
      <c r="BI28" s="35"/>
      <c r="BJ28" s="35"/>
      <c r="BK28" s="35"/>
      <c r="BL28" s="35"/>
      <c r="BM28" s="35"/>
      <c r="BN28" s="35">
        <v>31</v>
      </c>
      <c r="BO28" s="35">
        <v>49</v>
      </c>
      <c r="BP28" s="38">
        <v>11</v>
      </c>
      <c r="BQ28" s="38">
        <v>66</v>
      </c>
    </row>
    <row r="29" spans="1:69" x14ac:dyDescent="0.25">
      <c r="A29" t="s">
        <v>236</v>
      </c>
      <c r="B29" s="12">
        <v>1980.23</v>
      </c>
      <c r="C29" s="12">
        <v>1980.23</v>
      </c>
      <c r="D29" s="12">
        <v>1980.23</v>
      </c>
      <c r="E29" s="12">
        <v>625</v>
      </c>
      <c r="F29" s="12">
        <v>1980.23</v>
      </c>
      <c r="G29" s="12">
        <v>1980.23</v>
      </c>
      <c r="H29" s="12">
        <v>2000</v>
      </c>
      <c r="I29" s="12">
        <v>1984.13</v>
      </c>
      <c r="J29" s="12">
        <v>1980.23</v>
      </c>
      <c r="K29" s="12">
        <v>1980.2</v>
      </c>
      <c r="L29" s="12">
        <v>2011.78</v>
      </c>
      <c r="M29" s="12">
        <v>1980.23</v>
      </c>
      <c r="N29" s="12">
        <v>1980.23</v>
      </c>
      <c r="O29" s="18">
        <v>2000</v>
      </c>
      <c r="P29" s="12">
        <v>2500</v>
      </c>
      <c r="Q29" s="12">
        <v>2525</v>
      </c>
      <c r="R29" s="12">
        <v>56000</v>
      </c>
      <c r="S29" s="12">
        <v>1980.23</v>
      </c>
      <c r="T29" s="12">
        <v>1980.23</v>
      </c>
      <c r="U29" s="12">
        <v>1980.25</v>
      </c>
      <c r="V29" s="12">
        <v>1980.23</v>
      </c>
      <c r="W29" s="12">
        <v>1980.23</v>
      </c>
      <c r="X29" s="12">
        <v>1900</v>
      </c>
      <c r="Y29" s="12">
        <v>1980.23</v>
      </c>
      <c r="Z29" s="12">
        <v>1980.23</v>
      </c>
      <c r="AA29" s="12">
        <v>589.62</v>
      </c>
      <c r="AB29" s="12">
        <v>700</v>
      </c>
      <c r="AC29" s="12">
        <v>150</v>
      </c>
      <c r="AD29" s="12">
        <v>1980.23</v>
      </c>
      <c r="AE29" s="12">
        <v>888</v>
      </c>
      <c r="AF29" s="12">
        <v>1900</v>
      </c>
      <c r="AG29" s="12">
        <v>1980.23</v>
      </c>
      <c r="AH29" s="12">
        <v>1980.23</v>
      </c>
      <c r="AI29" s="12">
        <v>1980.23</v>
      </c>
      <c r="AJ29" s="12">
        <v>1980.2</v>
      </c>
      <c r="AK29" s="12">
        <v>1980.23</v>
      </c>
      <c r="AL29" s="12">
        <v>1980.23</v>
      </c>
      <c r="AM29" s="12">
        <v>1980</v>
      </c>
      <c r="AN29" s="12">
        <v>1980.23</v>
      </c>
      <c r="AO29" s="12">
        <v>1980.23</v>
      </c>
      <c r="AP29" s="12">
        <v>26000</v>
      </c>
      <c r="AQ29" s="12">
        <v>1980.23</v>
      </c>
      <c r="AR29" s="12">
        <v>1980</v>
      </c>
      <c r="AS29" s="12">
        <v>600</v>
      </c>
      <c r="AT29" s="12">
        <v>1980.23</v>
      </c>
      <c r="AU29" s="12">
        <v>1980.23</v>
      </c>
      <c r="AV29" s="12">
        <v>1.04</v>
      </c>
      <c r="AW29" s="12">
        <v>1.04</v>
      </c>
      <c r="AX29" s="12">
        <v>2000</v>
      </c>
      <c r="AY29" s="12">
        <v>1980.23</v>
      </c>
      <c r="AZ29" s="12">
        <v>1980.23</v>
      </c>
      <c r="BA29" s="12">
        <v>1980.23</v>
      </c>
      <c r="BB29" s="12">
        <v>500</v>
      </c>
      <c r="BC29" s="12">
        <v>1981</v>
      </c>
      <c r="BD29" s="12">
        <v>1980.23</v>
      </c>
      <c r="BE29" s="12">
        <v>1980.35</v>
      </c>
      <c r="BF29" s="12">
        <v>1980.23</v>
      </c>
      <c r="BG29" s="35">
        <v>1980.23</v>
      </c>
      <c r="BH29" s="35">
        <v>1980.23</v>
      </c>
      <c r="BI29" s="35">
        <v>1980.23</v>
      </c>
      <c r="BJ29" s="35">
        <v>1980.23</v>
      </c>
      <c r="BK29" s="35">
        <v>1.04</v>
      </c>
      <c r="BL29" s="35">
        <v>1980</v>
      </c>
      <c r="BM29" s="35">
        <v>1980.23</v>
      </c>
      <c r="BN29" s="35">
        <v>1980.23</v>
      </c>
      <c r="BO29" s="35">
        <v>1980.23</v>
      </c>
      <c r="BP29" s="38">
        <v>1980.23</v>
      </c>
      <c r="BQ29" s="38">
        <v>1980.23</v>
      </c>
    </row>
    <row r="30" spans="1:69" x14ac:dyDescent="0.25">
      <c r="A30" t="s">
        <v>237</v>
      </c>
      <c r="B30" s="12">
        <f>IF(B29=1980.23,1,0)</f>
        <v>1</v>
      </c>
      <c r="C30" s="12">
        <f t="shared" ref="C30:AB30" si="19">IF(C29=1980.23,1,0)</f>
        <v>1</v>
      </c>
      <c r="D30" s="12">
        <f t="shared" si="19"/>
        <v>1</v>
      </c>
      <c r="E30" s="12">
        <f t="shared" si="19"/>
        <v>0</v>
      </c>
      <c r="F30" s="12">
        <f t="shared" si="19"/>
        <v>1</v>
      </c>
      <c r="G30" s="12">
        <f t="shared" si="19"/>
        <v>1</v>
      </c>
      <c r="H30" s="12">
        <f t="shared" si="19"/>
        <v>0</v>
      </c>
      <c r="I30" s="12">
        <f t="shared" si="19"/>
        <v>0</v>
      </c>
      <c r="J30" s="12">
        <f t="shared" si="19"/>
        <v>1</v>
      </c>
      <c r="K30" s="12">
        <v>1</v>
      </c>
      <c r="L30" s="12">
        <f t="shared" si="19"/>
        <v>0</v>
      </c>
      <c r="M30" s="12">
        <f t="shared" si="19"/>
        <v>1</v>
      </c>
      <c r="N30" s="12">
        <f t="shared" si="19"/>
        <v>1</v>
      </c>
      <c r="O30" s="12">
        <f t="shared" si="19"/>
        <v>0</v>
      </c>
      <c r="P30" s="12">
        <f t="shared" si="19"/>
        <v>0</v>
      </c>
      <c r="Q30" s="12">
        <f t="shared" si="19"/>
        <v>0</v>
      </c>
      <c r="R30" s="12">
        <f t="shared" si="19"/>
        <v>0</v>
      </c>
      <c r="S30" s="12">
        <f t="shared" si="19"/>
        <v>1</v>
      </c>
      <c r="T30" s="12">
        <f t="shared" si="19"/>
        <v>1</v>
      </c>
      <c r="U30" s="12">
        <v>1</v>
      </c>
      <c r="V30" s="12">
        <f t="shared" si="19"/>
        <v>1</v>
      </c>
      <c r="W30" s="12">
        <f t="shared" si="19"/>
        <v>1</v>
      </c>
      <c r="X30" s="12">
        <f t="shared" si="19"/>
        <v>0</v>
      </c>
      <c r="Y30" s="12">
        <f t="shared" si="19"/>
        <v>1</v>
      </c>
      <c r="Z30" s="12">
        <f t="shared" si="19"/>
        <v>1</v>
      </c>
      <c r="AA30" s="12">
        <f t="shared" si="19"/>
        <v>0</v>
      </c>
      <c r="AB30" s="12">
        <f t="shared" si="19"/>
        <v>0</v>
      </c>
      <c r="AC30" s="12">
        <f>IF(AC29=1980.23,1,0)</f>
        <v>0</v>
      </c>
      <c r="AD30" s="12">
        <f t="shared" ref="AD30:BF30" si="20">IF(AD29=1980.23,1,0)</f>
        <v>1</v>
      </c>
      <c r="AE30" s="12">
        <f t="shared" si="20"/>
        <v>0</v>
      </c>
      <c r="AF30" s="12">
        <f t="shared" si="20"/>
        <v>0</v>
      </c>
      <c r="AG30" s="12">
        <f t="shared" si="20"/>
        <v>1</v>
      </c>
      <c r="AH30" s="12">
        <f t="shared" si="20"/>
        <v>1</v>
      </c>
      <c r="AI30" s="12">
        <f t="shared" si="20"/>
        <v>1</v>
      </c>
      <c r="AJ30" s="12">
        <f t="shared" si="20"/>
        <v>0</v>
      </c>
      <c r="AK30" s="12">
        <f t="shared" si="20"/>
        <v>1</v>
      </c>
      <c r="AL30" s="12">
        <f t="shared" si="20"/>
        <v>1</v>
      </c>
      <c r="AM30" s="12">
        <v>1</v>
      </c>
      <c r="AN30" s="12">
        <f t="shared" si="20"/>
        <v>1</v>
      </c>
      <c r="AO30" s="12">
        <f t="shared" si="20"/>
        <v>1</v>
      </c>
      <c r="AP30" s="12">
        <f t="shared" si="20"/>
        <v>0</v>
      </c>
      <c r="AQ30" s="12">
        <f t="shared" si="20"/>
        <v>1</v>
      </c>
      <c r="AR30" s="12">
        <v>1</v>
      </c>
      <c r="AS30" s="12">
        <f t="shared" si="20"/>
        <v>0</v>
      </c>
      <c r="AT30" s="12">
        <f t="shared" si="20"/>
        <v>1</v>
      </c>
      <c r="AU30" s="12">
        <f t="shared" si="20"/>
        <v>1</v>
      </c>
      <c r="AV30" s="12">
        <f t="shared" si="20"/>
        <v>0</v>
      </c>
      <c r="AW30" s="12">
        <f t="shared" si="20"/>
        <v>0</v>
      </c>
      <c r="AX30" s="12">
        <f t="shared" si="20"/>
        <v>0</v>
      </c>
      <c r="AY30" s="12">
        <f t="shared" si="20"/>
        <v>1</v>
      </c>
      <c r="AZ30" s="12">
        <f t="shared" si="20"/>
        <v>1</v>
      </c>
      <c r="BA30" s="12">
        <f t="shared" si="20"/>
        <v>1</v>
      </c>
      <c r="BB30" s="12">
        <f t="shared" si="20"/>
        <v>0</v>
      </c>
      <c r="BC30" s="12">
        <v>1</v>
      </c>
      <c r="BD30" s="12">
        <f t="shared" si="20"/>
        <v>1</v>
      </c>
      <c r="BE30" s="12">
        <f t="shared" si="20"/>
        <v>0</v>
      </c>
      <c r="BF30" s="12">
        <f t="shared" si="20"/>
        <v>1</v>
      </c>
      <c r="BG30" s="35">
        <f t="shared" ref="BG30:BP30" si="21">IF(BG29=1980.23,1,0)</f>
        <v>1</v>
      </c>
      <c r="BH30" s="35">
        <f t="shared" si="21"/>
        <v>1</v>
      </c>
      <c r="BI30" s="35">
        <f t="shared" si="21"/>
        <v>1</v>
      </c>
      <c r="BJ30" s="35">
        <f t="shared" si="21"/>
        <v>1</v>
      </c>
      <c r="BK30" s="35">
        <f t="shared" si="21"/>
        <v>0</v>
      </c>
      <c r="BL30" s="35">
        <v>1</v>
      </c>
      <c r="BM30" s="35">
        <f t="shared" si="21"/>
        <v>1</v>
      </c>
      <c r="BN30" s="35">
        <f t="shared" si="21"/>
        <v>1</v>
      </c>
      <c r="BO30" s="35">
        <f t="shared" si="21"/>
        <v>1</v>
      </c>
      <c r="BP30" s="35">
        <f t="shared" si="21"/>
        <v>1</v>
      </c>
      <c r="BQ30" s="35">
        <f t="shared" ref="BQ30" si="22">IF(BQ29=1980.23,1,0)</f>
        <v>1</v>
      </c>
    </row>
    <row r="31" spans="1:69" x14ac:dyDescent="0.25">
      <c r="A31" t="s">
        <v>238</v>
      </c>
      <c r="B31" s="12">
        <v>39</v>
      </c>
      <c r="C31" s="12">
        <v>26</v>
      </c>
      <c r="D31" s="12">
        <v>32</v>
      </c>
      <c r="E31" s="12">
        <v>39</v>
      </c>
      <c r="F31" s="12">
        <v>168</v>
      </c>
      <c r="G31" s="12">
        <v>31</v>
      </c>
      <c r="H31" s="12">
        <v>210</v>
      </c>
      <c r="I31" s="12">
        <v>127</v>
      </c>
      <c r="J31" s="12">
        <v>400</v>
      </c>
      <c r="K31" s="12">
        <v>303</v>
      </c>
      <c r="L31" s="12">
        <v>41</v>
      </c>
      <c r="M31" s="12">
        <v>20</v>
      </c>
      <c r="N31" s="12">
        <v>30</v>
      </c>
      <c r="O31" s="12">
        <v>24</v>
      </c>
      <c r="P31" s="12">
        <v>18</v>
      </c>
      <c r="Q31" s="12">
        <v>86</v>
      </c>
      <c r="R31" s="12">
        <v>197</v>
      </c>
      <c r="S31" s="12">
        <v>85</v>
      </c>
      <c r="T31" s="12">
        <v>52</v>
      </c>
      <c r="U31" s="12">
        <v>148</v>
      </c>
      <c r="V31" s="12">
        <v>22</v>
      </c>
      <c r="W31" s="12">
        <v>95</v>
      </c>
      <c r="X31" s="12">
        <v>33</v>
      </c>
      <c r="Y31" s="12">
        <v>98</v>
      </c>
      <c r="Z31" s="12">
        <v>27</v>
      </c>
      <c r="AA31" s="12">
        <v>150</v>
      </c>
      <c r="AB31" s="12">
        <v>24</v>
      </c>
      <c r="AC31" s="12">
        <v>40</v>
      </c>
      <c r="AD31" s="12">
        <v>41</v>
      </c>
      <c r="AE31" s="12">
        <v>4</v>
      </c>
      <c r="AF31" s="12">
        <v>456</v>
      </c>
      <c r="AG31" s="12">
        <v>41</v>
      </c>
      <c r="AH31" s="12">
        <v>61</v>
      </c>
      <c r="AI31" s="12">
        <v>205</v>
      </c>
      <c r="AJ31" s="12">
        <v>44</v>
      </c>
      <c r="AK31" s="12">
        <v>16</v>
      </c>
      <c r="AL31" s="12">
        <v>21</v>
      </c>
      <c r="AM31" s="12">
        <v>18</v>
      </c>
      <c r="AN31" s="12">
        <v>21</v>
      </c>
      <c r="AO31" s="12">
        <v>68</v>
      </c>
      <c r="AP31" s="12">
        <v>17</v>
      </c>
      <c r="AQ31" s="12">
        <v>27</v>
      </c>
      <c r="AR31" s="12">
        <v>30</v>
      </c>
      <c r="AS31" s="12">
        <v>124</v>
      </c>
      <c r="AT31" s="12">
        <v>20</v>
      </c>
      <c r="AU31" s="12">
        <v>27</v>
      </c>
      <c r="AV31" s="12">
        <v>82</v>
      </c>
      <c r="AW31" s="12">
        <v>124</v>
      </c>
      <c r="AX31" s="12">
        <v>14</v>
      </c>
      <c r="AY31" s="12">
        <v>81</v>
      </c>
      <c r="AZ31" s="12">
        <v>21</v>
      </c>
      <c r="BA31" s="12">
        <v>204</v>
      </c>
      <c r="BB31" s="12">
        <v>30</v>
      </c>
      <c r="BC31" s="12">
        <v>9</v>
      </c>
      <c r="BD31" s="12">
        <v>19</v>
      </c>
      <c r="BE31" s="12">
        <v>136</v>
      </c>
      <c r="BF31" s="12">
        <v>9</v>
      </c>
      <c r="BG31" s="35"/>
      <c r="BH31" s="35"/>
      <c r="BI31" s="35"/>
      <c r="BJ31" s="35"/>
      <c r="BK31" s="35"/>
      <c r="BL31" s="35"/>
      <c r="BM31" s="35"/>
      <c r="BN31" s="35">
        <v>12</v>
      </c>
      <c r="BO31" s="35">
        <v>38</v>
      </c>
      <c r="BP31" s="38">
        <v>24</v>
      </c>
      <c r="BQ31" s="38">
        <v>79</v>
      </c>
    </row>
    <row r="32" spans="1:69" x14ac:dyDescent="0.25">
      <c r="A32" t="s">
        <v>241</v>
      </c>
      <c r="B32" s="12">
        <v>1</v>
      </c>
      <c r="C32" s="12">
        <v>0</v>
      </c>
      <c r="D32" s="12">
        <v>1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1</v>
      </c>
      <c r="M32" s="12">
        <v>1</v>
      </c>
      <c r="N32" s="12">
        <v>1</v>
      </c>
      <c r="O32" s="18">
        <v>0</v>
      </c>
      <c r="P32" s="12">
        <v>1</v>
      </c>
      <c r="Q32" s="12">
        <v>0</v>
      </c>
      <c r="R32" s="12">
        <v>1</v>
      </c>
      <c r="S32" s="12">
        <v>1</v>
      </c>
      <c r="T32" s="12">
        <v>1</v>
      </c>
      <c r="U32" s="12">
        <v>1</v>
      </c>
      <c r="V32" s="12">
        <v>1</v>
      </c>
      <c r="W32" s="12">
        <v>1</v>
      </c>
      <c r="X32" s="12">
        <v>1</v>
      </c>
      <c r="Y32" s="12">
        <v>0</v>
      </c>
      <c r="Z32" s="12">
        <v>0</v>
      </c>
      <c r="AA32" s="12">
        <v>0</v>
      </c>
      <c r="AB32" s="12">
        <v>0</v>
      </c>
      <c r="AC32" s="12">
        <v>1</v>
      </c>
      <c r="AD32" s="12">
        <v>0</v>
      </c>
      <c r="AE32" s="12">
        <v>1</v>
      </c>
      <c r="AF32" s="12">
        <v>0</v>
      </c>
      <c r="AG32" s="12">
        <v>1</v>
      </c>
      <c r="AH32" s="12">
        <v>0</v>
      </c>
      <c r="AI32" s="12">
        <v>0</v>
      </c>
      <c r="AJ32" s="12">
        <v>0</v>
      </c>
      <c r="AK32" s="12">
        <v>1</v>
      </c>
      <c r="AL32" s="12">
        <v>1</v>
      </c>
      <c r="AM32" s="12">
        <v>0</v>
      </c>
      <c r="AN32" s="12">
        <v>1</v>
      </c>
      <c r="AO32" s="12">
        <v>1</v>
      </c>
      <c r="AP32" s="12">
        <v>1</v>
      </c>
      <c r="AQ32" s="12">
        <v>0</v>
      </c>
      <c r="AR32" s="12">
        <v>0</v>
      </c>
      <c r="AS32" s="12">
        <v>1</v>
      </c>
      <c r="AT32" s="12">
        <v>1</v>
      </c>
      <c r="AU32" s="12">
        <v>1</v>
      </c>
      <c r="AV32" s="12">
        <v>0</v>
      </c>
      <c r="AW32" s="12">
        <v>1</v>
      </c>
      <c r="AX32" s="12">
        <v>1</v>
      </c>
      <c r="AY32" s="12">
        <v>1</v>
      </c>
      <c r="AZ32" s="12">
        <v>0</v>
      </c>
      <c r="BA32" s="12">
        <v>0</v>
      </c>
      <c r="BB32" s="12">
        <v>0</v>
      </c>
      <c r="BC32" s="12">
        <v>1</v>
      </c>
      <c r="BD32" s="12">
        <v>1</v>
      </c>
      <c r="BE32" s="12">
        <v>1</v>
      </c>
      <c r="BF32" s="12">
        <v>1</v>
      </c>
      <c r="BG32" s="35">
        <v>0</v>
      </c>
      <c r="BH32" s="35">
        <v>1</v>
      </c>
      <c r="BI32" s="35">
        <v>0</v>
      </c>
      <c r="BJ32" s="35">
        <v>1</v>
      </c>
      <c r="BK32" s="35">
        <v>1</v>
      </c>
      <c r="BL32" s="35">
        <v>0</v>
      </c>
      <c r="BM32" s="35">
        <v>1</v>
      </c>
      <c r="BN32" s="35">
        <v>1</v>
      </c>
      <c r="BO32" s="35">
        <v>1</v>
      </c>
      <c r="BP32" s="38">
        <v>1</v>
      </c>
      <c r="BQ32" s="38">
        <v>1</v>
      </c>
    </row>
    <row r="33" spans="1:69" x14ac:dyDescent="0.25">
      <c r="A33" t="s">
        <v>246</v>
      </c>
      <c r="B33" s="12">
        <f>IF(B32=1,1,0)</f>
        <v>1</v>
      </c>
      <c r="C33" s="12">
        <f t="shared" ref="C33:AB33" si="23">IF(C32=1,1,0)</f>
        <v>0</v>
      </c>
      <c r="D33" s="12">
        <f t="shared" si="23"/>
        <v>1</v>
      </c>
      <c r="E33" s="12">
        <f t="shared" si="23"/>
        <v>0</v>
      </c>
      <c r="F33" s="12">
        <f t="shared" si="23"/>
        <v>0</v>
      </c>
      <c r="G33" s="12">
        <f t="shared" si="23"/>
        <v>0</v>
      </c>
      <c r="H33" s="12">
        <f t="shared" si="23"/>
        <v>0</v>
      </c>
      <c r="I33" s="12">
        <f t="shared" si="23"/>
        <v>0</v>
      </c>
      <c r="J33" s="12">
        <f t="shared" si="23"/>
        <v>0</v>
      </c>
      <c r="K33" s="12">
        <f t="shared" si="23"/>
        <v>0</v>
      </c>
      <c r="L33" s="12">
        <f t="shared" si="23"/>
        <v>1</v>
      </c>
      <c r="M33" s="12">
        <f t="shared" si="23"/>
        <v>1</v>
      </c>
      <c r="N33" s="12">
        <f t="shared" si="23"/>
        <v>1</v>
      </c>
      <c r="O33" s="12">
        <f t="shared" si="23"/>
        <v>0</v>
      </c>
      <c r="P33" s="12">
        <f t="shared" si="23"/>
        <v>1</v>
      </c>
      <c r="Q33" s="12">
        <f t="shared" si="23"/>
        <v>0</v>
      </c>
      <c r="R33" s="12">
        <f t="shared" si="23"/>
        <v>1</v>
      </c>
      <c r="S33" s="12">
        <f t="shared" si="23"/>
        <v>1</v>
      </c>
      <c r="T33" s="12">
        <f t="shared" si="23"/>
        <v>1</v>
      </c>
      <c r="U33" s="12">
        <f t="shared" si="23"/>
        <v>1</v>
      </c>
      <c r="V33" s="12">
        <f t="shared" si="23"/>
        <v>1</v>
      </c>
      <c r="W33" s="12">
        <f t="shared" si="23"/>
        <v>1</v>
      </c>
      <c r="X33" s="12">
        <f t="shared" si="23"/>
        <v>1</v>
      </c>
      <c r="Y33" s="12">
        <f t="shared" si="23"/>
        <v>0</v>
      </c>
      <c r="Z33" s="12">
        <f t="shared" si="23"/>
        <v>0</v>
      </c>
      <c r="AA33" s="12">
        <f t="shared" si="23"/>
        <v>0</v>
      </c>
      <c r="AB33" s="12">
        <f t="shared" si="23"/>
        <v>0</v>
      </c>
      <c r="AC33" s="12">
        <f>IF(AC32=1,1,0)</f>
        <v>1</v>
      </c>
      <c r="AD33" s="12">
        <f t="shared" ref="AD33:BF33" si="24">IF(AD32=1,1,0)</f>
        <v>0</v>
      </c>
      <c r="AE33" s="12">
        <f t="shared" si="24"/>
        <v>1</v>
      </c>
      <c r="AF33" s="12">
        <f t="shared" si="24"/>
        <v>0</v>
      </c>
      <c r="AG33" s="12">
        <f t="shared" si="24"/>
        <v>1</v>
      </c>
      <c r="AH33" s="12">
        <f t="shared" si="24"/>
        <v>0</v>
      </c>
      <c r="AI33" s="12">
        <f t="shared" si="24"/>
        <v>0</v>
      </c>
      <c r="AJ33" s="12">
        <f t="shared" si="24"/>
        <v>0</v>
      </c>
      <c r="AK33" s="12">
        <f t="shared" si="24"/>
        <v>1</v>
      </c>
      <c r="AL33" s="12">
        <f t="shared" si="24"/>
        <v>1</v>
      </c>
      <c r="AM33" s="12">
        <f t="shared" si="24"/>
        <v>0</v>
      </c>
      <c r="AN33" s="12">
        <f t="shared" si="24"/>
        <v>1</v>
      </c>
      <c r="AO33" s="12">
        <f t="shared" si="24"/>
        <v>1</v>
      </c>
      <c r="AP33" s="12">
        <f t="shared" si="24"/>
        <v>1</v>
      </c>
      <c r="AQ33" s="12">
        <f t="shared" si="24"/>
        <v>0</v>
      </c>
      <c r="AR33" s="12">
        <f t="shared" si="24"/>
        <v>0</v>
      </c>
      <c r="AS33" s="12">
        <f t="shared" si="24"/>
        <v>1</v>
      </c>
      <c r="AT33" s="12">
        <f t="shared" si="24"/>
        <v>1</v>
      </c>
      <c r="AU33" s="12">
        <f t="shared" si="24"/>
        <v>1</v>
      </c>
      <c r="AV33" s="12">
        <f t="shared" si="24"/>
        <v>0</v>
      </c>
      <c r="AW33" s="12">
        <f t="shared" si="24"/>
        <v>1</v>
      </c>
      <c r="AX33" s="12">
        <f t="shared" si="24"/>
        <v>1</v>
      </c>
      <c r="AY33" s="12">
        <f t="shared" si="24"/>
        <v>1</v>
      </c>
      <c r="AZ33" s="12">
        <f t="shared" si="24"/>
        <v>0</v>
      </c>
      <c r="BA33" s="12">
        <f t="shared" si="24"/>
        <v>0</v>
      </c>
      <c r="BB33" s="12">
        <f t="shared" si="24"/>
        <v>0</v>
      </c>
      <c r="BC33" s="12">
        <f t="shared" si="24"/>
        <v>1</v>
      </c>
      <c r="BD33" s="12">
        <f t="shared" si="24"/>
        <v>1</v>
      </c>
      <c r="BE33" s="12">
        <f t="shared" si="24"/>
        <v>1</v>
      </c>
      <c r="BF33" s="12">
        <f t="shared" si="24"/>
        <v>1</v>
      </c>
      <c r="BG33" s="35">
        <f t="shared" ref="BG33:BP33" si="25">IF(BG32=1,1,0)</f>
        <v>0</v>
      </c>
      <c r="BH33" s="35">
        <f t="shared" si="25"/>
        <v>1</v>
      </c>
      <c r="BI33" s="35">
        <f t="shared" si="25"/>
        <v>0</v>
      </c>
      <c r="BJ33" s="35">
        <f t="shared" si="25"/>
        <v>1</v>
      </c>
      <c r="BK33" s="35">
        <f t="shared" si="25"/>
        <v>1</v>
      </c>
      <c r="BL33" s="35">
        <f t="shared" si="25"/>
        <v>0</v>
      </c>
      <c r="BM33" s="35">
        <f t="shared" si="25"/>
        <v>1</v>
      </c>
      <c r="BN33" s="35">
        <f t="shared" si="25"/>
        <v>1</v>
      </c>
      <c r="BO33" s="35">
        <f t="shared" si="25"/>
        <v>1</v>
      </c>
      <c r="BP33" s="35">
        <f t="shared" si="25"/>
        <v>1</v>
      </c>
      <c r="BQ33" s="35">
        <f t="shared" ref="BQ33" si="26">IF(BQ32=1,1,0)</f>
        <v>1</v>
      </c>
    </row>
    <row r="34" spans="1:69" x14ac:dyDescent="0.25">
      <c r="A34" t="s">
        <v>248</v>
      </c>
      <c r="B34" s="12">
        <v>11</v>
      </c>
      <c r="C34" s="12">
        <v>15</v>
      </c>
      <c r="D34" s="12">
        <v>12</v>
      </c>
      <c r="E34" s="12">
        <v>24</v>
      </c>
      <c r="F34" s="12">
        <v>42</v>
      </c>
      <c r="G34" s="12">
        <v>31</v>
      </c>
      <c r="H34" s="12">
        <v>6</v>
      </c>
      <c r="I34" s="12">
        <v>49</v>
      </c>
      <c r="J34" s="12">
        <v>23</v>
      </c>
      <c r="K34" s="12">
        <v>24</v>
      </c>
      <c r="L34" s="12">
        <v>10</v>
      </c>
      <c r="M34" s="12">
        <v>7</v>
      </c>
      <c r="N34" s="12">
        <v>21</v>
      </c>
      <c r="O34" s="12">
        <v>13</v>
      </c>
      <c r="P34" s="12">
        <v>5</v>
      </c>
      <c r="Q34" s="12">
        <v>6</v>
      </c>
      <c r="R34" s="12">
        <v>9</v>
      </c>
      <c r="S34" s="12">
        <v>18</v>
      </c>
      <c r="T34" s="12">
        <v>28</v>
      </c>
      <c r="U34" s="12">
        <v>13</v>
      </c>
      <c r="V34" s="12">
        <v>9</v>
      </c>
      <c r="W34" s="12">
        <v>38</v>
      </c>
      <c r="X34" s="12">
        <v>32</v>
      </c>
      <c r="Y34" s="12">
        <v>27</v>
      </c>
      <c r="Z34" s="12">
        <v>15</v>
      </c>
      <c r="AA34" s="12">
        <v>8</v>
      </c>
      <c r="AB34" s="12">
        <v>7</v>
      </c>
      <c r="AC34" s="12">
        <v>10</v>
      </c>
      <c r="AD34" s="12">
        <v>4</v>
      </c>
      <c r="AE34" s="12">
        <v>5</v>
      </c>
      <c r="AF34" s="12">
        <v>13</v>
      </c>
      <c r="AG34" s="12">
        <v>3</v>
      </c>
      <c r="AH34" s="12">
        <v>24</v>
      </c>
      <c r="AI34" s="12">
        <v>9</v>
      </c>
      <c r="AJ34" s="12">
        <v>10</v>
      </c>
      <c r="AK34" s="12">
        <v>12</v>
      </c>
      <c r="AL34" s="12">
        <v>44</v>
      </c>
      <c r="AM34" s="12">
        <v>42</v>
      </c>
      <c r="AN34" s="12">
        <v>22</v>
      </c>
      <c r="AO34" s="12">
        <v>9</v>
      </c>
      <c r="AP34" s="12">
        <v>5</v>
      </c>
      <c r="AQ34" s="12">
        <v>6</v>
      </c>
      <c r="AR34" s="12">
        <v>4</v>
      </c>
      <c r="AS34" s="12">
        <v>15</v>
      </c>
      <c r="AT34" s="12">
        <v>7</v>
      </c>
      <c r="AU34" s="12">
        <v>20</v>
      </c>
      <c r="AV34" s="12">
        <v>7</v>
      </c>
      <c r="AW34" s="12">
        <v>7</v>
      </c>
      <c r="AX34" s="12">
        <v>8</v>
      </c>
      <c r="AY34" s="12">
        <v>69</v>
      </c>
      <c r="AZ34" s="12">
        <v>62</v>
      </c>
      <c r="BA34" s="12">
        <v>24</v>
      </c>
      <c r="BB34" s="12">
        <v>7</v>
      </c>
      <c r="BC34" s="12">
        <v>10</v>
      </c>
      <c r="BD34" s="12">
        <v>10</v>
      </c>
      <c r="BE34" s="12">
        <v>9</v>
      </c>
      <c r="BF34" s="12">
        <v>4</v>
      </c>
      <c r="BG34" s="35"/>
      <c r="BH34" s="35"/>
      <c r="BI34" s="35"/>
      <c r="BJ34" s="35"/>
      <c r="BK34" s="35"/>
      <c r="BL34" s="35"/>
      <c r="BM34" s="35"/>
      <c r="BN34" s="35">
        <v>9</v>
      </c>
      <c r="BO34" s="35">
        <v>34</v>
      </c>
      <c r="BP34" s="38">
        <v>12</v>
      </c>
      <c r="BQ34" s="38">
        <v>100</v>
      </c>
    </row>
    <row r="35" spans="1:69" x14ac:dyDescent="0.25">
      <c r="A35" t="s">
        <v>250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8">
        <v>2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2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2</v>
      </c>
      <c r="BD35" s="12">
        <v>0</v>
      </c>
      <c r="BE35" s="12">
        <v>0</v>
      </c>
      <c r="BF35" s="12">
        <v>0</v>
      </c>
      <c r="BG35" s="35">
        <v>0</v>
      </c>
      <c r="BH35" s="35">
        <v>0</v>
      </c>
      <c r="BI35" s="35">
        <v>0</v>
      </c>
      <c r="BJ35" s="35">
        <v>0</v>
      </c>
      <c r="BK35" s="35">
        <v>0</v>
      </c>
      <c r="BL35" s="35">
        <v>0</v>
      </c>
      <c r="BM35" s="35">
        <v>0</v>
      </c>
      <c r="BN35" s="35">
        <v>0</v>
      </c>
      <c r="BO35" s="35">
        <v>0</v>
      </c>
      <c r="BP35" s="38">
        <v>0</v>
      </c>
      <c r="BQ35" s="38">
        <v>0</v>
      </c>
    </row>
    <row r="36" spans="1:69" x14ac:dyDescent="0.25">
      <c r="A36" t="s">
        <v>252</v>
      </c>
      <c r="B36" s="12">
        <f>IF(B35=0,1,0)</f>
        <v>1</v>
      </c>
      <c r="C36" s="12">
        <f t="shared" ref="C36:AB36" si="27">IF(C35=0,1,0)</f>
        <v>1</v>
      </c>
      <c r="D36" s="12">
        <f t="shared" si="27"/>
        <v>1</v>
      </c>
      <c r="E36" s="12">
        <f t="shared" si="27"/>
        <v>1</v>
      </c>
      <c r="F36" s="12">
        <f t="shared" si="27"/>
        <v>1</v>
      </c>
      <c r="G36" s="12">
        <f t="shared" si="27"/>
        <v>1</v>
      </c>
      <c r="H36" s="12">
        <f t="shared" si="27"/>
        <v>1</v>
      </c>
      <c r="I36" s="12">
        <f t="shared" si="27"/>
        <v>1</v>
      </c>
      <c r="J36" s="12">
        <f t="shared" si="27"/>
        <v>1</v>
      </c>
      <c r="K36" s="12">
        <f t="shared" si="27"/>
        <v>1</v>
      </c>
      <c r="L36" s="12">
        <f t="shared" si="27"/>
        <v>1</v>
      </c>
      <c r="M36" s="12">
        <f t="shared" si="27"/>
        <v>1</v>
      </c>
      <c r="N36" s="12">
        <f t="shared" si="27"/>
        <v>1</v>
      </c>
      <c r="O36" s="12">
        <f t="shared" si="27"/>
        <v>0</v>
      </c>
      <c r="P36" s="12">
        <f t="shared" si="27"/>
        <v>1</v>
      </c>
      <c r="Q36" s="12">
        <f t="shared" si="27"/>
        <v>1</v>
      </c>
      <c r="R36" s="12">
        <f t="shared" si="27"/>
        <v>1</v>
      </c>
      <c r="S36" s="12">
        <f t="shared" si="27"/>
        <v>1</v>
      </c>
      <c r="T36" s="12">
        <f t="shared" si="27"/>
        <v>1</v>
      </c>
      <c r="U36" s="12">
        <f t="shared" si="27"/>
        <v>1</v>
      </c>
      <c r="V36" s="12">
        <f t="shared" si="27"/>
        <v>1</v>
      </c>
      <c r="W36" s="12">
        <f t="shared" si="27"/>
        <v>1</v>
      </c>
      <c r="X36" s="12">
        <f t="shared" si="27"/>
        <v>1</v>
      </c>
      <c r="Y36" s="12">
        <f t="shared" si="27"/>
        <v>1</v>
      </c>
      <c r="Z36" s="12">
        <f t="shared" si="27"/>
        <v>1</v>
      </c>
      <c r="AA36" s="12">
        <f t="shared" si="27"/>
        <v>1</v>
      </c>
      <c r="AB36" s="12">
        <f t="shared" si="27"/>
        <v>0</v>
      </c>
      <c r="AC36" s="12">
        <f>IF(AC35=0,1,0)</f>
        <v>1</v>
      </c>
      <c r="AD36" s="12">
        <f t="shared" ref="AD36:BF36" si="28">IF(AD35=0,1,0)</f>
        <v>1</v>
      </c>
      <c r="AE36" s="12">
        <f t="shared" si="28"/>
        <v>1</v>
      </c>
      <c r="AF36" s="12">
        <f t="shared" si="28"/>
        <v>1</v>
      </c>
      <c r="AG36" s="12">
        <f t="shared" si="28"/>
        <v>1</v>
      </c>
      <c r="AH36" s="12">
        <f t="shared" si="28"/>
        <v>1</v>
      </c>
      <c r="AI36" s="12">
        <f t="shared" si="28"/>
        <v>1</v>
      </c>
      <c r="AJ36" s="12">
        <f t="shared" si="28"/>
        <v>1</v>
      </c>
      <c r="AK36" s="12">
        <f t="shared" si="28"/>
        <v>1</v>
      </c>
      <c r="AL36" s="12">
        <f t="shared" si="28"/>
        <v>1</v>
      </c>
      <c r="AM36" s="12">
        <f t="shared" si="28"/>
        <v>1</v>
      </c>
      <c r="AN36" s="12">
        <f t="shared" si="28"/>
        <v>1</v>
      </c>
      <c r="AO36" s="12">
        <f t="shared" si="28"/>
        <v>1</v>
      </c>
      <c r="AP36" s="12">
        <f t="shared" si="28"/>
        <v>1</v>
      </c>
      <c r="AQ36" s="12">
        <f t="shared" si="28"/>
        <v>1</v>
      </c>
      <c r="AR36" s="12">
        <f t="shared" si="28"/>
        <v>1</v>
      </c>
      <c r="AS36" s="12">
        <f t="shared" si="28"/>
        <v>1</v>
      </c>
      <c r="AT36" s="12">
        <f t="shared" si="28"/>
        <v>1</v>
      </c>
      <c r="AU36" s="12">
        <f t="shared" si="28"/>
        <v>1</v>
      </c>
      <c r="AV36" s="12">
        <f t="shared" si="28"/>
        <v>1</v>
      </c>
      <c r="AW36" s="12">
        <f t="shared" si="28"/>
        <v>1</v>
      </c>
      <c r="AX36" s="12">
        <f t="shared" si="28"/>
        <v>1</v>
      </c>
      <c r="AY36" s="12">
        <f t="shared" si="28"/>
        <v>1</v>
      </c>
      <c r="AZ36" s="12">
        <f t="shared" si="28"/>
        <v>1</v>
      </c>
      <c r="BA36" s="12">
        <f t="shared" si="28"/>
        <v>1</v>
      </c>
      <c r="BB36" s="12">
        <f t="shared" si="28"/>
        <v>1</v>
      </c>
      <c r="BC36" s="12">
        <f t="shared" si="28"/>
        <v>0</v>
      </c>
      <c r="BD36" s="12">
        <f t="shared" si="28"/>
        <v>1</v>
      </c>
      <c r="BE36" s="12">
        <f t="shared" si="28"/>
        <v>1</v>
      </c>
      <c r="BF36" s="12">
        <f t="shared" si="28"/>
        <v>1</v>
      </c>
      <c r="BG36" s="35">
        <f t="shared" ref="AD36:BP39" si="29">IF(BG35=0,1,0)</f>
        <v>1</v>
      </c>
      <c r="BH36" s="35">
        <f t="shared" si="29"/>
        <v>1</v>
      </c>
      <c r="BI36" s="35">
        <f t="shared" si="29"/>
        <v>1</v>
      </c>
      <c r="BJ36" s="35">
        <f t="shared" si="29"/>
        <v>1</v>
      </c>
      <c r="BK36" s="35">
        <f t="shared" si="29"/>
        <v>1</v>
      </c>
      <c r="BL36" s="35">
        <f t="shared" si="29"/>
        <v>1</v>
      </c>
      <c r="BM36" s="35">
        <f t="shared" si="29"/>
        <v>1</v>
      </c>
      <c r="BN36" s="35">
        <f t="shared" si="29"/>
        <v>1</v>
      </c>
      <c r="BO36" s="35">
        <f t="shared" si="29"/>
        <v>1</v>
      </c>
      <c r="BP36" s="35">
        <f t="shared" si="29"/>
        <v>1</v>
      </c>
      <c r="BQ36" s="35">
        <f t="shared" ref="BQ36" si="30">IF(BQ35=0,1,0)</f>
        <v>1</v>
      </c>
    </row>
    <row r="37" spans="1:69" x14ac:dyDescent="0.25">
      <c r="A37" t="s">
        <v>253</v>
      </c>
      <c r="B37" s="12">
        <v>12</v>
      </c>
      <c r="C37" s="12">
        <v>28</v>
      </c>
      <c r="D37" s="12">
        <v>13</v>
      </c>
      <c r="E37" s="12">
        <v>63</v>
      </c>
      <c r="F37" s="12">
        <v>33</v>
      </c>
      <c r="G37" s="12">
        <v>35</v>
      </c>
      <c r="H37" s="12">
        <v>26</v>
      </c>
      <c r="I37" s="12">
        <v>66</v>
      </c>
      <c r="J37" s="12">
        <v>33</v>
      </c>
      <c r="K37" s="12">
        <v>30</v>
      </c>
      <c r="L37" s="12">
        <v>13</v>
      </c>
      <c r="M37" s="12">
        <v>12</v>
      </c>
      <c r="N37" s="12">
        <v>8</v>
      </c>
      <c r="O37" s="12">
        <v>3</v>
      </c>
      <c r="P37" s="12">
        <v>30</v>
      </c>
      <c r="Q37" s="12">
        <v>30</v>
      </c>
      <c r="R37" s="12">
        <v>25</v>
      </c>
      <c r="S37" s="12">
        <v>20</v>
      </c>
      <c r="T37" s="12">
        <v>11</v>
      </c>
      <c r="U37" s="12">
        <v>18</v>
      </c>
      <c r="V37" s="12">
        <v>16</v>
      </c>
      <c r="W37" s="12">
        <v>25</v>
      </c>
      <c r="X37" s="12">
        <v>18</v>
      </c>
      <c r="Y37" s="12">
        <v>9</v>
      </c>
      <c r="Z37" s="12">
        <v>10</v>
      </c>
      <c r="AA37" s="12">
        <v>20</v>
      </c>
      <c r="AB37" s="12">
        <v>19</v>
      </c>
      <c r="AC37" s="12">
        <v>164</v>
      </c>
      <c r="AD37" s="12">
        <v>8</v>
      </c>
      <c r="AE37" s="12">
        <v>6</v>
      </c>
      <c r="AF37" s="12">
        <v>13</v>
      </c>
      <c r="AG37" s="12">
        <v>26</v>
      </c>
      <c r="AH37" s="12">
        <v>27</v>
      </c>
      <c r="AI37" s="12">
        <v>18</v>
      </c>
      <c r="AJ37" s="12">
        <v>20</v>
      </c>
      <c r="AK37" s="12">
        <v>10</v>
      </c>
      <c r="AL37" s="12">
        <v>23</v>
      </c>
      <c r="AM37" s="12">
        <v>16</v>
      </c>
      <c r="AN37" s="12">
        <v>14</v>
      </c>
      <c r="AO37" s="12">
        <v>5</v>
      </c>
      <c r="AP37" s="12">
        <v>14</v>
      </c>
      <c r="AQ37" s="12">
        <v>25</v>
      </c>
      <c r="AR37" s="12">
        <v>8</v>
      </c>
      <c r="AS37" s="12">
        <v>28</v>
      </c>
      <c r="AT37" s="12">
        <v>15</v>
      </c>
      <c r="AU37" s="12">
        <v>13</v>
      </c>
      <c r="AV37" s="12">
        <v>16</v>
      </c>
      <c r="AW37" s="12">
        <v>13</v>
      </c>
      <c r="AX37" s="12">
        <v>13</v>
      </c>
      <c r="AY37" s="12">
        <v>12</v>
      </c>
      <c r="AZ37" s="12">
        <v>10</v>
      </c>
      <c r="BA37" s="12">
        <v>16</v>
      </c>
      <c r="BB37" s="12">
        <v>14</v>
      </c>
      <c r="BC37" s="12">
        <v>13</v>
      </c>
      <c r="BD37" s="12">
        <v>12</v>
      </c>
      <c r="BE37" s="12">
        <v>23</v>
      </c>
      <c r="BF37" s="12">
        <v>9</v>
      </c>
      <c r="BG37" s="35"/>
      <c r="BH37" s="35"/>
      <c r="BI37" s="35"/>
      <c r="BJ37" s="35"/>
      <c r="BK37" s="35"/>
      <c r="BL37" s="35"/>
      <c r="BM37" s="35"/>
      <c r="BN37" s="35">
        <v>15</v>
      </c>
      <c r="BO37" s="35">
        <v>108</v>
      </c>
      <c r="BP37" s="38">
        <v>13</v>
      </c>
      <c r="BQ37" s="38">
        <v>16</v>
      </c>
    </row>
    <row r="38" spans="1:69" x14ac:dyDescent="0.25">
      <c r="A38" t="s">
        <v>254</v>
      </c>
      <c r="B38" s="12">
        <v>0</v>
      </c>
      <c r="C38" s="12">
        <v>3</v>
      </c>
      <c r="D38" s="12">
        <v>0</v>
      </c>
      <c r="E38" s="12">
        <v>1</v>
      </c>
      <c r="F38" s="12">
        <v>3</v>
      </c>
      <c r="G38" s="12">
        <v>3</v>
      </c>
      <c r="H38" s="12">
        <v>0</v>
      </c>
      <c r="I38" s="12">
        <v>1</v>
      </c>
      <c r="J38" s="12">
        <v>1</v>
      </c>
      <c r="K38" s="12">
        <v>0</v>
      </c>
      <c r="L38" s="12">
        <v>1</v>
      </c>
      <c r="M38" s="12">
        <v>0</v>
      </c>
      <c r="N38" s="12">
        <v>3</v>
      </c>
      <c r="O38" s="18">
        <v>0</v>
      </c>
      <c r="P38" s="12">
        <v>0</v>
      </c>
      <c r="Q38" s="12">
        <v>0</v>
      </c>
      <c r="R38" s="12">
        <v>3</v>
      </c>
      <c r="S38" s="12">
        <v>1</v>
      </c>
      <c r="T38" s="12">
        <v>1</v>
      </c>
      <c r="U38" s="12">
        <v>0</v>
      </c>
      <c r="V38" s="12">
        <v>3</v>
      </c>
      <c r="W38" s="12">
        <v>0</v>
      </c>
      <c r="X38" s="12">
        <v>3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1</v>
      </c>
      <c r="AE38" s="12">
        <v>1</v>
      </c>
      <c r="AF38" s="12">
        <v>3</v>
      </c>
      <c r="AG38" s="12">
        <v>0</v>
      </c>
      <c r="AH38" s="12">
        <v>3</v>
      </c>
      <c r="AI38" s="12">
        <v>0</v>
      </c>
      <c r="AJ38" s="12">
        <v>3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3</v>
      </c>
      <c r="AR38" s="12">
        <v>1</v>
      </c>
      <c r="AS38" s="12">
        <v>0</v>
      </c>
      <c r="AT38" s="12">
        <v>0</v>
      </c>
      <c r="AU38" s="12">
        <v>3</v>
      </c>
      <c r="AV38" s="12">
        <v>3</v>
      </c>
      <c r="AW38" s="12">
        <v>0</v>
      </c>
      <c r="AX38" s="12">
        <v>0</v>
      </c>
      <c r="AY38" s="12">
        <v>0</v>
      </c>
      <c r="AZ38" s="12">
        <v>3</v>
      </c>
      <c r="BA38" s="12">
        <v>1</v>
      </c>
      <c r="BB38" s="12">
        <v>0</v>
      </c>
      <c r="BC38" s="12">
        <v>3</v>
      </c>
      <c r="BD38" s="12">
        <v>0</v>
      </c>
      <c r="BE38" s="12">
        <v>0</v>
      </c>
      <c r="BF38" s="12">
        <v>1</v>
      </c>
      <c r="BG38" s="35">
        <v>0</v>
      </c>
      <c r="BH38" s="35">
        <v>0</v>
      </c>
      <c r="BI38" s="35">
        <v>0</v>
      </c>
      <c r="BJ38" s="35">
        <v>1</v>
      </c>
      <c r="BK38" s="35">
        <v>0</v>
      </c>
      <c r="BL38" s="35">
        <v>0</v>
      </c>
      <c r="BM38" s="35">
        <v>0</v>
      </c>
      <c r="BN38" s="35">
        <v>0</v>
      </c>
      <c r="BO38" s="35">
        <v>3</v>
      </c>
      <c r="BP38" s="38">
        <v>0</v>
      </c>
      <c r="BQ38" s="38">
        <v>3</v>
      </c>
    </row>
    <row r="39" spans="1:69" x14ac:dyDescent="0.25">
      <c r="A39" t="s">
        <v>257</v>
      </c>
      <c r="B39" s="12">
        <f>IF(B38=0,1,0)</f>
        <v>1</v>
      </c>
      <c r="C39" s="12">
        <f t="shared" ref="C39:AB39" si="31">IF(C38=0,1,0)</f>
        <v>0</v>
      </c>
      <c r="D39" s="12">
        <f t="shared" si="31"/>
        <v>1</v>
      </c>
      <c r="E39" s="12">
        <f t="shared" si="31"/>
        <v>0</v>
      </c>
      <c r="F39" s="12">
        <f t="shared" si="31"/>
        <v>0</v>
      </c>
      <c r="G39" s="12">
        <f t="shared" si="31"/>
        <v>0</v>
      </c>
      <c r="H39" s="12">
        <f t="shared" si="31"/>
        <v>1</v>
      </c>
      <c r="I39" s="12">
        <f t="shared" si="31"/>
        <v>0</v>
      </c>
      <c r="J39" s="12">
        <f t="shared" si="31"/>
        <v>0</v>
      </c>
      <c r="K39" s="12">
        <f t="shared" si="31"/>
        <v>1</v>
      </c>
      <c r="L39" s="12">
        <f t="shared" si="31"/>
        <v>0</v>
      </c>
      <c r="M39" s="12">
        <f t="shared" si="31"/>
        <v>1</v>
      </c>
      <c r="N39" s="12">
        <f t="shared" si="31"/>
        <v>0</v>
      </c>
      <c r="O39" s="12">
        <f t="shared" si="31"/>
        <v>1</v>
      </c>
      <c r="P39" s="12">
        <f t="shared" si="31"/>
        <v>1</v>
      </c>
      <c r="Q39" s="12">
        <f t="shared" si="31"/>
        <v>1</v>
      </c>
      <c r="R39" s="12">
        <f t="shared" si="31"/>
        <v>0</v>
      </c>
      <c r="S39" s="12">
        <f t="shared" si="31"/>
        <v>0</v>
      </c>
      <c r="T39" s="12">
        <f t="shared" si="31"/>
        <v>0</v>
      </c>
      <c r="U39" s="12">
        <f t="shared" si="31"/>
        <v>1</v>
      </c>
      <c r="V39" s="12">
        <f t="shared" si="31"/>
        <v>0</v>
      </c>
      <c r="W39" s="12">
        <f t="shared" si="31"/>
        <v>1</v>
      </c>
      <c r="X39" s="12">
        <f t="shared" si="31"/>
        <v>0</v>
      </c>
      <c r="Y39" s="12">
        <f t="shared" si="31"/>
        <v>1</v>
      </c>
      <c r="Z39" s="12">
        <f t="shared" si="31"/>
        <v>1</v>
      </c>
      <c r="AA39" s="12">
        <f t="shared" si="31"/>
        <v>1</v>
      </c>
      <c r="AB39" s="12">
        <f t="shared" si="31"/>
        <v>1</v>
      </c>
      <c r="AC39" s="12">
        <f>IF(AC38=0,1,0)</f>
        <v>1</v>
      </c>
      <c r="AD39" s="12">
        <f t="shared" si="29"/>
        <v>0</v>
      </c>
      <c r="AE39" s="12">
        <f t="shared" si="29"/>
        <v>0</v>
      </c>
      <c r="AF39" s="12">
        <f t="shared" si="29"/>
        <v>0</v>
      </c>
      <c r="AG39" s="12">
        <f t="shared" si="29"/>
        <v>1</v>
      </c>
      <c r="AH39" s="12">
        <f t="shared" si="29"/>
        <v>0</v>
      </c>
      <c r="AI39" s="12">
        <f t="shared" si="29"/>
        <v>1</v>
      </c>
      <c r="AJ39" s="12">
        <f t="shared" si="29"/>
        <v>0</v>
      </c>
      <c r="AK39" s="12">
        <f t="shared" si="29"/>
        <v>1</v>
      </c>
      <c r="AL39" s="12">
        <f t="shared" si="29"/>
        <v>1</v>
      </c>
      <c r="AM39" s="12">
        <f t="shared" si="29"/>
        <v>1</v>
      </c>
      <c r="AN39" s="12">
        <f t="shared" si="29"/>
        <v>1</v>
      </c>
      <c r="AO39" s="12">
        <f t="shared" si="29"/>
        <v>1</v>
      </c>
      <c r="AP39" s="12">
        <f t="shared" si="29"/>
        <v>1</v>
      </c>
      <c r="AQ39" s="12">
        <f t="shared" si="29"/>
        <v>0</v>
      </c>
      <c r="AR39" s="12">
        <f t="shared" si="29"/>
        <v>0</v>
      </c>
      <c r="AS39" s="12">
        <f t="shared" si="29"/>
        <v>1</v>
      </c>
      <c r="AT39" s="12">
        <f t="shared" si="29"/>
        <v>1</v>
      </c>
      <c r="AU39" s="12">
        <f t="shared" si="29"/>
        <v>0</v>
      </c>
      <c r="AV39" s="12">
        <f t="shared" si="29"/>
        <v>0</v>
      </c>
      <c r="AW39" s="12">
        <f t="shared" si="29"/>
        <v>1</v>
      </c>
      <c r="AX39" s="12">
        <f t="shared" si="29"/>
        <v>1</v>
      </c>
      <c r="AY39" s="12">
        <f t="shared" si="29"/>
        <v>1</v>
      </c>
      <c r="AZ39" s="12">
        <f t="shared" si="29"/>
        <v>0</v>
      </c>
      <c r="BA39" s="12">
        <f t="shared" si="29"/>
        <v>0</v>
      </c>
      <c r="BB39" s="12">
        <f t="shared" si="29"/>
        <v>1</v>
      </c>
      <c r="BC39" s="12">
        <f t="shared" si="29"/>
        <v>0</v>
      </c>
      <c r="BD39" s="12">
        <f t="shared" si="29"/>
        <v>1</v>
      </c>
      <c r="BE39" s="12">
        <f t="shared" si="29"/>
        <v>1</v>
      </c>
      <c r="BF39" s="12">
        <f t="shared" si="29"/>
        <v>0</v>
      </c>
      <c r="BG39" s="35">
        <f t="shared" ref="AD39:BP42" si="32">IF(BG38=0,1,0)</f>
        <v>1</v>
      </c>
      <c r="BH39" s="35">
        <f t="shared" si="32"/>
        <v>1</v>
      </c>
      <c r="BI39" s="35">
        <f t="shared" si="32"/>
        <v>1</v>
      </c>
      <c r="BJ39" s="35">
        <f t="shared" si="32"/>
        <v>0</v>
      </c>
      <c r="BK39" s="35">
        <f t="shared" si="32"/>
        <v>1</v>
      </c>
      <c r="BL39" s="35">
        <f t="shared" si="32"/>
        <v>1</v>
      </c>
      <c r="BM39" s="35">
        <f t="shared" si="32"/>
        <v>1</v>
      </c>
      <c r="BN39" s="35">
        <f t="shared" si="32"/>
        <v>1</v>
      </c>
      <c r="BO39" s="35">
        <f t="shared" si="32"/>
        <v>0</v>
      </c>
      <c r="BP39" s="35">
        <f t="shared" si="32"/>
        <v>1</v>
      </c>
      <c r="BQ39" s="35">
        <f t="shared" ref="BG39:BQ42" si="33">IF(BQ38=0,1,0)</f>
        <v>0</v>
      </c>
    </row>
    <row r="40" spans="1:69" x14ac:dyDescent="0.25">
      <c r="A40" t="s">
        <v>258</v>
      </c>
      <c r="B40" s="12">
        <v>19</v>
      </c>
      <c r="C40" s="12">
        <v>16</v>
      </c>
      <c r="D40" s="12">
        <v>11</v>
      </c>
      <c r="E40" s="12">
        <v>34</v>
      </c>
      <c r="F40" s="12">
        <v>37</v>
      </c>
      <c r="G40" s="12">
        <v>35</v>
      </c>
      <c r="H40" s="12">
        <v>32</v>
      </c>
      <c r="I40" s="12">
        <v>48</v>
      </c>
      <c r="J40" s="12">
        <v>26</v>
      </c>
      <c r="K40" s="12">
        <v>78</v>
      </c>
      <c r="L40" s="12">
        <v>10</v>
      </c>
      <c r="M40" s="12">
        <v>13</v>
      </c>
      <c r="N40" s="12">
        <v>12</v>
      </c>
      <c r="O40" s="12">
        <v>2</v>
      </c>
      <c r="P40" s="12">
        <v>13</v>
      </c>
      <c r="Q40" s="12">
        <v>15</v>
      </c>
      <c r="R40" s="12">
        <v>36</v>
      </c>
      <c r="S40" s="12">
        <v>21</v>
      </c>
      <c r="T40" s="12">
        <v>24</v>
      </c>
      <c r="U40" s="12">
        <v>34</v>
      </c>
      <c r="V40" s="12">
        <v>33</v>
      </c>
      <c r="W40" s="12">
        <v>172</v>
      </c>
      <c r="X40" s="12">
        <v>9</v>
      </c>
      <c r="Y40" s="12">
        <v>14</v>
      </c>
      <c r="Z40" s="12">
        <v>37</v>
      </c>
      <c r="AA40" s="12">
        <v>29</v>
      </c>
      <c r="AB40" s="12">
        <v>22</v>
      </c>
      <c r="AC40" s="12">
        <v>16</v>
      </c>
      <c r="AD40" s="12">
        <v>12</v>
      </c>
      <c r="AE40" s="12">
        <v>8</v>
      </c>
      <c r="AF40" s="12">
        <v>16</v>
      </c>
      <c r="AG40" s="12">
        <v>25</v>
      </c>
      <c r="AH40" s="12">
        <v>59</v>
      </c>
      <c r="AI40" s="12">
        <v>27</v>
      </c>
      <c r="AJ40" s="12">
        <v>34</v>
      </c>
      <c r="AK40" s="12">
        <v>15</v>
      </c>
      <c r="AL40" s="12">
        <v>20</v>
      </c>
      <c r="AM40" s="12">
        <v>27</v>
      </c>
      <c r="AN40" s="12">
        <v>27</v>
      </c>
      <c r="AO40" s="12">
        <v>3</v>
      </c>
      <c r="AP40" s="12">
        <v>13</v>
      </c>
      <c r="AQ40" s="12">
        <v>20</v>
      </c>
      <c r="AR40" s="12">
        <v>9</v>
      </c>
      <c r="AS40" s="12">
        <v>25</v>
      </c>
      <c r="AT40" s="12">
        <v>16</v>
      </c>
      <c r="AU40" s="12">
        <v>14</v>
      </c>
      <c r="AV40" s="12">
        <v>19</v>
      </c>
      <c r="AW40" s="12">
        <v>15</v>
      </c>
      <c r="AX40" s="12">
        <v>27</v>
      </c>
      <c r="AY40" s="12">
        <v>13</v>
      </c>
      <c r="AZ40" s="12">
        <v>27</v>
      </c>
      <c r="BA40" s="12">
        <v>51</v>
      </c>
      <c r="BB40" s="12">
        <v>6</v>
      </c>
      <c r="BC40" s="12">
        <v>26</v>
      </c>
      <c r="BD40" s="12">
        <v>16</v>
      </c>
      <c r="BE40" s="12">
        <v>41</v>
      </c>
      <c r="BF40" s="12">
        <v>16</v>
      </c>
      <c r="BG40" s="35"/>
      <c r="BH40" s="35"/>
      <c r="BI40" s="35"/>
      <c r="BJ40" s="35"/>
      <c r="BK40" s="35"/>
      <c r="BL40" s="35"/>
      <c r="BM40" s="35"/>
      <c r="BN40" s="35">
        <v>37</v>
      </c>
      <c r="BO40" s="35">
        <v>42</v>
      </c>
      <c r="BP40" s="38">
        <v>16</v>
      </c>
      <c r="BQ40" s="38">
        <v>23</v>
      </c>
    </row>
    <row r="41" spans="1:69" x14ac:dyDescent="0.25">
      <c r="A41" t="s">
        <v>259</v>
      </c>
      <c r="B41" s="12">
        <v>0</v>
      </c>
      <c r="C41" s="12">
        <v>0</v>
      </c>
      <c r="D41" s="12">
        <v>0</v>
      </c>
      <c r="E41" s="12">
        <v>2</v>
      </c>
      <c r="F41" s="12">
        <v>2</v>
      </c>
      <c r="G41" s="12">
        <v>2</v>
      </c>
      <c r="H41" s="12">
        <v>0</v>
      </c>
      <c r="I41" s="12">
        <v>0</v>
      </c>
      <c r="J41" s="12">
        <v>2</v>
      </c>
      <c r="K41" s="12">
        <v>0</v>
      </c>
      <c r="L41" s="12">
        <v>2</v>
      </c>
      <c r="M41" s="12">
        <v>0</v>
      </c>
      <c r="N41" s="12">
        <v>0</v>
      </c>
      <c r="O41" s="18">
        <v>0</v>
      </c>
      <c r="P41" s="12">
        <v>0</v>
      </c>
      <c r="Q41" s="12">
        <v>1</v>
      </c>
      <c r="R41" s="12">
        <v>0</v>
      </c>
      <c r="S41" s="12">
        <v>0</v>
      </c>
      <c r="T41" s="12">
        <v>0</v>
      </c>
      <c r="U41" s="12">
        <v>2</v>
      </c>
      <c r="V41" s="12">
        <v>0</v>
      </c>
      <c r="W41" s="12">
        <v>0</v>
      </c>
      <c r="X41" s="12">
        <v>2</v>
      </c>
      <c r="Y41" s="12">
        <v>0</v>
      </c>
      <c r="Z41" s="12">
        <v>2</v>
      </c>
      <c r="AA41" s="12">
        <v>2</v>
      </c>
      <c r="AB41" s="12">
        <v>2</v>
      </c>
      <c r="AC41" s="12">
        <v>1</v>
      </c>
      <c r="AD41" s="12">
        <v>2</v>
      </c>
      <c r="AE41" s="12">
        <v>2</v>
      </c>
      <c r="AF41" s="12">
        <v>0</v>
      </c>
      <c r="AG41" s="12">
        <v>0</v>
      </c>
      <c r="AH41" s="12">
        <v>0</v>
      </c>
      <c r="AI41" s="12">
        <v>2</v>
      </c>
      <c r="AJ41" s="12">
        <v>2</v>
      </c>
      <c r="AK41" s="12">
        <v>0</v>
      </c>
      <c r="AL41" s="12">
        <v>0</v>
      </c>
      <c r="AM41" s="12">
        <v>0</v>
      </c>
      <c r="AN41" s="12">
        <v>2</v>
      </c>
      <c r="AO41" s="12">
        <v>0</v>
      </c>
      <c r="AP41" s="12">
        <v>2</v>
      </c>
      <c r="AQ41" s="12">
        <v>0</v>
      </c>
      <c r="AR41" s="12">
        <v>2</v>
      </c>
      <c r="AS41" s="12">
        <v>2</v>
      </c>
      <c r="AT41" s="12">
        <v>0</v>
      </c>
      <c r="AU41" s="12">
        <v>0</v>
      </c>
      <c r="AV41" s="12">
        <v>0</v>
      </c>
      <c r="AW41" s="12">
        <v>2</v>
      </c>
      <c r="AX41" s="12">
        <v>2</v>
      </c>
      <c r="AY41" s="12">
        <v>1</v>
      </c>
      <c r="AZ41" s="12">
        <v>2</v>
      </c>
      <c r="BA41" s="12">
        <v>0</v>
      </c>
      <c r="BB41" s="12">
        <v>1</v>
      </c>
      <c r="BC41" s="12">
        <v>2</v>
      </c>
      <c r="BD41" s="12">
        <v>0</v>
      </c>
      <c r="BE41" s="12">
        <v>2</v>
      </c>
      <c r="BF41" s="12">
        <v>0</v>
      </c>
      <c r="BG41" s="35">
        <v>0</v>
      </c>
      <c r="BH41" s="35">
        <v>3</v>
      </c>
      <c r="BI41" s="35">
        <v>3</v>
      </c>
      <c r="BJ41" s="35">
        <v>0</v>
      </c>
      <c r="BK41" s="35">
        <v>3</v>
      </c>
      <c r="BL41" s="35">
        <v>3</v>
      </c>
      <c r="BM41" s="35">
        <v>2</v>
      </c>
      <c r="BN41" s="35">
        <v>0</v>
      </c>
      <c r="BO41" s="35">
        <v>0</v>
      </c>
      <c r="BP41" s="38">
        <v>2</v>
      </c>
      <c r="BQ41" s="38">
        <v>0</v>
      </c>
    </row>
    <row r="42" spans="1:69" x14ac:dyDescent="0.25">
      <c r="A42" t="s">
        <v>262</v>
      </c>
      <c r="B42" s="12">
        <f>IF(B41=0,1,0)</f>
        <v>1</v>
      </c>
      <c r="C42" s="12">
        <f t="shared" ref="C42:AB42" si="34">IF(C41=0,1,0)</f>
        <v>1</v>
      </c>
      <c r="D42" s="12">
        <f t="shared" si="34"/>
        <v>1</v>
      </c>
      <c r="E42" s="12">
        <f t="shared" si="34"/>
        <v>0</v>
      </c>
      <c r="F42" s="12">
        <f t="shared" si="34"/>
        <v>0</v>
      </c>
      <c r="G42" s="12">
        <f t="shared" si="34"/>
        <v>0</v>
      </c>
      <c r="H42" s="12">
        <f t="shared" si="34"/>
        <v>1</v>
      </c>
      <c r="I42" s="12">
        <f t="shared" si="34"/>
        <v>1</v>
      </c>
      <c r="J42" s="12">
        <f t="shared" si="34"/>
        <v>0</v>
      </c>
      <c r="K42" s="12">
        <f t="shared" si="34"/>
        <v>1</v>
      </c>
      <c r="L42" s="12">
        <f t="shared" si="34"/>
        <v>0</v>
      </c>
      <c r="M42" s="12">
        <f t="shared" si="34"/>
        <v>1</v>
      </c>
      <c r="N42" s="12">
        <f t="shared" si="34"/>
        <v>1</v>
      </c>
      <c r="O42" s="12">
        <f t="shared" si="34"/>
        <v>1</v>
      </c>
      <c r="P42" s="12">
        <f t="shared" si="34"/>
        <v>1</v>
      </c>
      <c r="Q42" s="12">
        <f t="shared" si="34"/>
        <v>0</v>
      </c>
      <c r="R42" s="12">
        <f t="shared" si="34"/>
        <v>1</v>
      </c>
      <c r="S42" s="12">
        <f t="shared" si="34"/>
        <v>1</v>
      </c>
      <c r="T42" s="12">
        <f t="shared" si="34"/>
        <v>1</v>
      </c>
      <c r="U42" s="12">
        <f t="shared" si="34"/>
        <v>0</v>
      </c>
      <c r="V42" s="12">
        <f t="shared" si="34"/>
        <v>1</v>
      </c>
      <c r="W42" s="12">
        <f t="shared" si="34"/>
        <v>1</v>
      </c>
      <c r="X42" s="12">
        <f t="shared" si="34"/>
        <v>0</v>
      </c>
      <c r="Y42" s="12">
        <f t="shared" si="34"/>
        <v>1</v>
      </c>
      <c r="Z42" s="12">
        <f t="shared" si="34"/>
        <v>0</v>
      </c>
      <c r="AA42" s="12">
        <f t="shared" si="34"/>
        <v>0</v>
      </c>
      <c r="AB42" s="12">
        <f t="shared" si="34"/>
        <v>0</v>
      </c>
      <c r="AC42" s="12">
        <f>IF(AC41=0,1,0)</f>
        <v>0</v>
      </c>
      <c r="AD42" s="12">
        <f t="shared" si="32"/>
        <v>0</v>
      </c>
      <c r="AE42" s="12">
        <f t="shared" si="32"/>
        <v>0</v>
      </c>
      <c r="AF42" s="12">
        <f t="shared" si="32"/>
        <v>1</v>
      </c>
      <c r="AG42" s="12">
        <f t="shared" si="32"/>
        <v>1</v>
      </c>
      <c r="AH42" s="12">
        <f t="shared" si="32"/>
        <v>1</v>
      </c>
      <c r="AI42" s="12">
        <f t="shared" si="32"/>
        <v>0</v>
      </c>
      <c r="AJ42" s="12">
        <f t="shared" si="32"/>
        <v>0</v>
      </c>
      <c r="AK42" s="12">
        <f t="shared" si="32"/>
        <v>1</v>
      </c>
      <c r="AL42" s="12">
        <f t="shared" si="32"/>
        <v>1</v>
      </c>
      <c r="AM42" s="12">
        <f t="shared" si="32"/>
        <v>1</v>
      </c>
      <c r="AN42" s="12">
        <f t="shared" si="32"/>
        <v>0</v>
      </c>
      <c r="AO42" s="12">
        <f t="shared" si="32"/>
        <v>1</v>
      </c>
      <c r="AP42" s="12">
        <f t="shared" si="32"/>
        <v>0</v>
      </c>
      <c r="AQ42" s="12">
        <f t="shared" si="32"/>
        <v>1</v>
      </c>
      <c r="AR42" s="12">
        <f t="shared" si="32"/>
        <v>0</v>
      </c>
      <c r="AS42" s="12">
        <f t="shared" si="32"/>
        <v>0</v>
      </c>
      <c r="AT42" s="12">
        <f t="shared" si="32"/>
        <v>1</v>
      </c>
      <c r="AU42" s="12">
        <f t="shared" si="32"/>
        <v>1</v>
      </c>
      <c r="AV42" s="12">
        <f t="shared" si="32"/>
        <v>1</v>
      </c>
      <c r="AW42" s="12">
        <f t="shared" si="32"/>
        <v>0</v>
      </c>
      <c r="AX42" s="12">
        <f t="shared" si="32"/>
        <v>0</v>
      </c>
      <c r="AY42" s="12">
        <f t="shared" si="32"/>
        <v>0</v>
      </c>
      <c r="AZ42" s="12">
        <f t="shared" si="32"/>
        <v>0</v>
      </c>
      <c r="BA42" s="12">
        <f t="shared" si="32"/>
        <v>1</v>
      </c>
      <c r="BB42" s="12">
        <f t="shared" si="32"/>
        <v>0</v>
      </c>
      <c r="BC42" s="12">
        <f t="shared" si="32"/>
        <v>0</v>
      </c>
      <c r="BD42" s="12">
        <f t="shared" si="32"/>
        <v>1</v>
      </c>
      <c r="BE42" s="12">
        <f t="shared" si="32"/>
        <v>0</v>
      </c>
      <c r="BF42" s="12">
        <f t="shared" si="32"/>
        <v>1</v>
      </c>
      <c r="BG42" s="35">
        <f t="shared" si="33"/>
        <v>1</v>
      </c>
      <c r="BH42" s="35">
        <f t="shared" si="33"/>
        <v>0</v>
      </c>
      <c r="BI42" s="35">
        <f t="shared" si="33"/>
        <v>0</v>
      </c>
      <c r="BJ42" s="35">
        <f t="shared" si="33"/>
        <v>1</v>
      </c>
      <c r="BK42" s="35">
        <f t="shared" si="33"/>
        <v>0</v>
      </c>
      <c r="BL42" s="35">
        <f t="shared" si="33"/>
        <v>0</v>
      </c>
      <c r="BM42" s="35">
        <f t="shared" si="33"/>
        <v>0</v>
      </c>
      <c r="BN42" s="35">
        <f t="shared" si="33"/>
        <v>1</v>
      </c>
      <c r="BO42" s="35">
        <f t="shared" si="33"/>
        <v>1</v>
      </c>
      <c r="BP42" s="35">
        <f t="shared" si="33"/>
        <v>0</v>
      </c>
      <c r="BQ42" s="35">
        <f t="shared" ref="BQ42" si="35">IF(BQ41=0,1,0)</f>
        <v>1</v>
      </c>
    </row>
    <row r="43" spans="1:69" x14ac:dyDescent="0.25">
      <c r="A43" t="s">
        <v>263</v>
      </c>
      <c r="B43" s="12">
        <v>22</v>
      </c>
      <c r="C43" s="12">
        <v>21</v>
      </c>
      <c r="D43" s="12">
        <v>13</v>
      </c>
      <c r="E43" s="12">
        <v>30</v>
      </c>
      <c r="F43" s="12">
        <v>63</v>
      </c>
      <c r="G43" s="12">
        <v>13</v>
      </c>
      <c r="H43" s="12">
        <v>110</v>
      </c>
      <c r="I43" s="12">
        <v>46</v>
      </c>
      <c r="J43" s="12">
        <v>23</v>
      </c>
      <c r="K43" s="12">
        <v>30</v>
      </c>
      <c r="L43" s="12">
        <v>10</v>
      </c>
      <c r="M43" s="12">
        <v>17</v>
      </c>
      <c r="N43" s="12">
        <v>29</v>
      </c>
      <c r="O43" s="12">
        <v>1</v>
      </c>
      <c r="P43" s="12">
        <v>16</v>
      </c>
      <c r="Q43" s="12">
        <v>18</v>
      </c>
      <c r="R43" s="12">
        <v>24</v>
      </c>
      <c r="S43" s="12">
        <v>40</v>
      </c>
      <c r="T43" s="12">
        <v>19</v>
      </c>
      <c r="U43" s="12">
        <v>20</v>
      </c>
      <c r="V43" s="12">
        <v>22</v>
      </c>
      <c r="W43" s="12">
        <v>84</v>
      </c>
      <c r="X43" s="12">
        <v>10</v>
      </c>
      <c r="Y43" s="12">
        <v>24</v>
      </c>
      <c r="Z43" s="12">
        <v>25</v>
      </c>
      <c r="AA43" s="12">
        <v>60</v>
      </c>
      <c r="AB43" s="12">
        <v>20</v>
      </c>
      <c r="AC43" s="12">
        <v>13</v>
      </c>
      <c r="AD43" s="12">
        <v>3</v>
      </c>
      <c r="AE43" s="12">
        <v>4</v>
      </c>
      <c r="AF43" s="12">
        <v>43</v>
      </c>
      <c r="AG43" s="12">
        <v>19</v>
      </c>
      <c r="AH43" s="12">
        <v>44</v>
      </c>
      <c r="AI43" s="12">
        <v>17</v>
      </c>
      <c r="AJ43" s="12">
        <v>12</v>
      </c>
      <c r="AK43" s="12">
        <v>12</v>
      </c>
      <c r="AL43" s="12">
        <v>19</v>
      </c>
      <c r="AM43" s="12">
        <v>25</v>
      </c>
      <c r="AN43" s="12">
        <v>21</v>
      </c>
      <c r="AO43" s="12">
        <v>8</v>
      </c>
      <c r="AP43" s="12">
        <v>13</v>
      </c>
      <c r="AQ43" s="12">
        <v>28</v>
      </c>
      <c r="AR43" s="12">
        <v>8</v>
      </c>
      <c r="AS43" s="12">
        <v>14</v>
      </c>
      <c r="AT43" s="12">
        <v>27</v>
      </c>
      <c r="AU43" s="12">
        <v>10</v>
      </c>
      <c r="AV43" s="12">
        <v>15</v>
      </c>
      <c r="AW43" s="12">
        <v>14</v>
      </c>
      <c r="AX43" s="12">
        <v>22</v>
      </c>
      <c r="AY43" s="12">
        <v>26</v>
      </c>
      <c r="AZ43" s="12">
        <v>23</v>
      </c>
      <c r="BA43" s="12">
        <v>62</v>
      </c>
      <c r="BB43" s="12">
        <v>68</v>
      </c>
      <c r="BC43" s="12">
        <v>47</v>
      </c>
      <c r="BD43" s="12">
        <v>11</v>
      </c>
      <c r="BE43" s="12">
        <v>37</v>
      </c>
      <c r="BF43" s="12">
        <v>16</v>
      </c>
      <c r="BG43" s="35"/>
      <c r="BH43" s="35"/>
      <c r="BI43" s="35"/>
      <c r="BJ43" s="35"/>
      <c r="BK43" s="35"/>
      <c r="BL43" s="35"/>
      <c r="BM43" s="35"/>
      <c r="BN43" s="35">
        <v>17</v>
      </c>
      <c r="BO43" s="35">
        <v>36</v>
      </c>
      <c r="BP43" s="38">
        <v>14</v>
      </c>
      <c r="BQ43" s="38">
        <v>23</v>
      </c>
    </row>
    <row r="44" spans="1:69" x14ac:dyDescent="0.25">
      <c r="A44" t="s">
        <v>264</v>
      </c>
      <c r="B44" s="12">
        <v>2</v>
      </c>
      <c r="C44" s="12">
        <v>2</v>
      </c>
      <c r="D44" s="12">
        <v>2</v>
      </c>
      <c r="E44" s="12">
        <v>2</v>
      </c>
      <c r="F44" s="12">
        <v>2</v>
      </c>
      <c r="G44" s="12">
        <v>2</v>
      </c>
      <c r="H44" s="12">
        <v>2</v>
      </c>
      <c r="I44" s="12">
        <v>1</v>
      </c>
      <c r="J44" s="12">
        <v>2</v>
      </c>
      <c r="K44" s="12">
        <v>1</v>
      </c>
      <c r="L44" s="12">
        <v>2</v>
      </c>
      <c r="M44" s="12">
        <v>2</v>
      </c>
      <c r="N44" s="12">
        <v>2</v>
      </c>
      <c r="O44" s="18">
        <v>0</v>
      </c>
      <c r="P44" s="12">
        <v>0</v>
      </c>
      <c r="Q44" s="12">
        <v>2</v>
      </c>
      <c r="R44" s="12">
        <v>3</v>
      </c>
      <c r="S44" s="12">
        <v>2</v>
      </c>
      <c r="T44" s="12">
        <v>2</v>
      </c>
      <c r="U44" s="12">
        <v>3</v>
      </c>
      <c r="V44" s="12">
        <v>2</v>
      </c>
      <c r="W44" s="12">
        <v>2</v>
      </c>
      <c r="X44" s="12">
        <v>3</v>
      </c>
      <c r="Y44" s="12">
        <v>2</v>
      </c>
      <c r="Z44" s="12">
        <v>0</v>
      </c>
      <c r="AA44" s="12">
        <v>0</v>
      </c>
      <c r="AB44" s="12">
        <v>1</v>
      </c>
      <c r="AC44" s="12">
        <v>2</v>
      </c>
      <c r="AD44" s="12">
        <v>1</v>
      </c>
      <c r="AE44" s="12">
        <v>0</v>
      </c>
      <c r="AF44" s="12">
        <v>3</v>
      </c>
      <c r="AG44" s="12">
        <v>1</v>
      </c>
      <c r="AH44" s="12">
        <v>3</v>
      </c>
      <c r="AI44" s="12">
        <v>3</v>
      </c>
      <c r="AJ44" s="12">
        <v>0</v>
      </c>
      <c r="AK44" s="12">
        <v>1</v>
      </c>
      <c r="AL44" s="12">
        <v>2</v>
      </c>
      <c r="AM44" s="12">
        <v>2</v>
      </c>
      <c r="AN44" s="12">
        <v>2</v>
      </c>
      <c r="AO44" s="12">
        <v>2</v>
      </c>
      <c r="AP44" s="12">
        <v>1</v>
      </c>
      <c r="AQ44" s="12">
        <v>2</v>
      </c>
      <c r="AR44" s="12">
        <v>2</v>
      </c>
      <c r="AS44" s="12">
        <v>1</v>
      </c>
      <c r="AT44" s="12">
        <v>2</v>
      </c>
      <c r="AU44" s="12">
        <v>0</v>
      </c>
      <c r="AV44" s="12">
        <v>1</v>
      </c>
      <c r="AW44" s="12">
        <v>1</v>
      </c>
      <c r="AX44" s="12">
        <v>2</v>
      </c>
      <c r="AY44" s="12">
        <v>2</v>
      </c>
      <c r="AZ44" s="12">
        <v>1</v>
      </c>
      <c r="BA44" s="12">
        <v>2</v>
      </c>
      <c r="BB44" s="12">
        <v>3</v>
      </c>
      <c r="BC44" s="12">
        <v>2</v>
      </c>
      <c r="BD44" s="12">
        <v>2</v>
      </c>
      <c r="BE44" s="12">
        <v>2</v>
      </c>
      <c r="BF44" s="12">
        <v>0</v>
      </c>
      <c r="BG44" s="35">
        <v>0</v>
      </c>
      <c r="BH44" s="35">
        <v>3</v>
      </c>
      <c r="BI44" s="35">
        <v>2</v>
      </c>
      <c r="BJ44" s="35">
        <v>2</v>
      </c>
      <c r="BK44" s="35">
        <v>1</v>
      </c>
      <c r="BL44" s="35">
        <v>2</v>
      </c>
      <c r="BM44" s="35">
        <v>1</v>
      </c>
      <c r="BN44" s="35">
        <v>3</v>
      </c>
      <c r="BO44" s="35">
        <v>1</v>
      </c>
      <c r="BP44" s="38">
        <v>2</v>
      </c>
      <c r="BQ44" s="38">
        <v>3</v>
      </c>
    </row>
    <row r="45" spans="1:69" x14ac:dyDescent="0.25">
      <c r="A45" t="s">
        <v>268</v>
      </c>
      <c r="B45" s="12">
        <f>IF(B44=2,1,0)</f>
        <v>1</v>
      </c>
      <c r="C45" s="12">
        <f t="shared" ref="C45:AB45" si="36">IF(C44=2,1,0)</f>
        <v>1</v>
      </c>
      <c r="D45" s="12">
        <f t="shared" si="36"/>
        <v>1</v>
      </c>
      <c r="E45" s="12">
        <f t="shared" si="36"/>
        <v>1</v>
      </c>
      <c r="F45" s="12">
        <f t="shared" si="36"/>
        <v>1</v>
      </c>
      <c r="G45" s="12">
        <f t="shared" si="36"/>
        <v>1</v>
      </c>
      <c r="H45" s="12">
        <f t="shared" si="36"/>
        <v>1</v>
      </c>
      <c r="I45" s="12">
        <f t="shared" si="36"/>
        <v>0</v>
      </c>
      <c r="J45" s="12">
        <f t="shared" si="36"/>
        <v>1</v>
      </c>
      <c r="K45" s="12">
        <f t="shared" si="36"/>
        <v>0</v>
      </c>
      <c r="L45" s="12">
        <f t="shared" si="36"/>
        <v>1</v>
      </c>
      <c r="M45" s="12">
        <f t="shared" si="36"/>
        <v>1</v>
      </c>
      <c r="N45" s="12">
        <f t="shared" si="36"/>
        <v>1</v>
      </c>
      <c r="O45" s="12">
        <f t="shared" si="36"/>
        <v>0</v>
      </c>
      <c r="P45" s="12">
        <f t="shared" si="36"/>
        <v>0</v>
      </c>
      <c r="Q45" s="12">
        <f t="shared" si="36"/>
        <v>1</v>
      </c>
      <c r="R45" s="12">
        <f t="shared" si="36"/>
        <v>0</v>
      </c>
      <c r="S45" s="12">
        <f t="shared" si="36"/>
        <v>1</v>
      </c>
      <c r="T45" s="12">
        <f t="shared" si="36"/>
        <v>1</v>
      </c>
      <c r="U45" s="12">
        <f t="shared" si="36"/>
        <v>0</v>
      </c>
      <c r="V45" s="12">
        <f t="shared" si="36"/>
        <v>1</v>
      </c>
      <c r="W45" s="12">
        <f t="shared" si="36"/>
        <v>1</v>
      </c>
      <c r="X45" s="12">
        <f t="shared" si="36"/>
        <v>0</v>
      </c>
      <c r="Y45" s="12">
        <f t="shared" si="36"/>
        <v>1</v>
      </c>
      <c r="Z45" s="12">
        <f t="shared" si="36"/>
        <v>0</v>
      </c>
      <c r="AA45" s="12">
        <f t="shared" si="36"/>
        <v>0</v>
      </c>
      <c r="AB45" s="12">
        <f t="shared" si="36"/>
        <v>0</v>
      </c>
      <c r="AC45" s="12">
        <f>IF(AC44=2,1,0)</f>
        <v>1</v>
      </c>
      <c r="AD45" s="12">
        <f t="shared" ref="AD45:BF45" si="37">IF(AD44=2,1,0)</f>
        <v>0</v>
      </c>
      <c r="AE45" s="12">
        <f t="shared" si="37"/>
        <v>0</v>
      </c>
      <c r="AF45" s="12">
        <f t="shared" si="37"/>
        <v>0</v>
      </c>
      <c r="AG45" s="12">
        <f t="shared" si="37"/>
        <v>0</v>
      </c>
      <c r="AH45" s="12">
        <f t="shared" si="37"/>
        <v>0</v>
      </c>
      <c r="AI45" s="12">
        <f t="shared" si="37"/>
        <v>0</v>
      </c>
      <c r="AJ45" s="12">
        <f t="shared" si="37"/>
        <v>0</v>
      </c>
      <c r="AK45" s="12">
        <f t="shared" si="37"/>
        <v>0</v>
      </c>
      <c r="AL45" s="12">
        <f t="shared" si="37"/>
        <v>1</v>
      </c>
      <c r="AM45" s="12">
        <f t="shared" si="37"/>
        <v>1</v>
      </c>
      <c r="AN45" s="12">
        <f t="shared" si="37"/>
        <v>1</v>
      </c>
      <c r="AO45" s="12">
        <f t="shared" si="37"/>
        <v>1</v>
      </c>
      <c r="AP45" s="12">
        <f t="shared" si="37"/>
        <v>0</v>
      </c>
      <c r="AQ45" s="12">
        <f t="shared" si="37"/>
        <v>1</v>
      </c>
      <c r="AR45" s="12">
        <f t="shared" si="37"/>
        <v>1</v>
      </c>
      <c r="AS45" s="12">
        <f t="shared" si="37"/>
        <v>0</v>
      </c>
      <c r="AT45" s="12">
        <f t="shared" si="37"/>
        <v>1</v>
      </c>
      <c r="AU45" s="12">
        <f t="shared" si="37"/>
        <v>0</v>
      </c>
      <c r="AV45" s="12">
        <f t="shared" si="37"/>
        <v>0</v>
      </c>
      <c r="AW45" s="12">
        <f t="shared" si="37"/>
        <v>0</v>
      </c>
      <c r="AX45" s="12">
        <f t="shared" si="37"/>
        <v>1</v>
      </c>
      <c r="AY45" s="12">
        <f t="shared" si="37"/>
        <v>1</v>
      </c>
      <c r="AZ45" s="12">
        <f t="shared" si="37"/>
        <v>0</v>
      </c>
      <c r="BA45" s="12">
        <f t="shared" si="37"/>
        <v>1</v>
      </c>
      <c r="BB45" s="12">
        <f t="shared" si="37"/>
        <v>0</v>
      </c>
      <c r="BC45" s="12">
        <f t="shared" si="37"/>
        <v>1</v>
      </c>
      <c r="BD45" s="12">
        <f t="shared" si="37"/>
        <v>1</v>
      </c>
      <c r="BE45" s="12">
        <f t="shared" si="37"/>
        <v>1</v>
      </c>
      <c r="BF45" s="12">
        <f t="shared" si="37"/>
        <v>0</v>
      </c>
      <c r="BG45" s="35">
        <f t="shared" ref="BG45:BP45" si="38">IF(BG44=2,1,0)</f>
        <v>0</v>
      </c>
      <c r="BH45" s="35">
        <f t="shared" si="38"/>
        <v>0</v>
      </c>
      <c r="BI45" s="35">
        <f t="shared" si="38"/>
        <v>1</v>
      </c>
      <c r="BJ45" s="35">
        <f t="shared" si="38"/>
        <v>1</v>
      </c>
      <c r="BK45" s="35">
        <f t="shared" si="38"/>
        <v>0</v>
      </c>
      <c r="BL45" s="35">
        <f t="shared" si="38"/>
        <v>1</v>
      </c>
      <c r="BM45" s="35">
        <f t="shared" si="38"/>
        <v>0</v>
      </c>
      <c r="BN45" s="35">
        <f t="shared" si="38"/>
        <v>0</v>
      </c>
      <c r="BO45" s="35">
        <f t="shared" si="38"/>
        <v>0</v>
      </c>
      <c r="BP45" s="35">
        <f t="shared" si="38"/>
        <v>1</v>
      </c>
      <c r="BQ45" s="35">
        <f t="shared" ref="BQ45" si="39">IF(BQ44=2,1,0)</f>
        <v>0</v>
      </c>
    </row>
    <row r="46" spans="1:69" x14ac:dyDescent="0.25">
      <c r="A46" t="s">
        <v>269</v>
      </c>
      <c r="B46" s="12">
        <v>13</v>
      </c>
      <c r="C46" s="12">
        <v>21</v>
      </c>
      <c r="D46" s="12">
        <v>9</v>
      </c>
      <c r="E46" s="12">
        <v>44</v>
      </c>
      <c r="F46" s="12">
        <v>30</v>
      </c>
      <c r="G46" s="12">
        <v>52</v>
      </c>
      <c r="H46" s="12">
        <v>37</v>
      </c>
      <c r="I46" s="12">
        <v>18</v>
      </c>
      <c r="J46" s="12">
        <v>72</v>
      </c>
      <c r="K46" s="12">
        <v>67</v>
      </c>
      <c r="L46" s="12">
        <v>22</v>
      </c>
      <c r="M46" s="12">
        <v>6</v>
      </c>
      <c r="N46" s="12">
        <v>11</v>
      </c>
      <c r="O46" s="12">
        <v>1</v>
      </c>
      <c r="P46" s="12">
        <v>26</v>
      </c>
      <c r="Q46" s="12">
        <v>30</v>
      </c>
      <c r="R46" s="12">
        <v>20</v>
      </c>
      <c r="S46" s="12">
        <v>30</v>
      </c>
      <c r="T46" s="12">
        <v>18</v>
      </c>
      <c r="U46" s="12">
        <v>56</v>
      </c>
      <c r="V46" s="12">
        <v>13</v>
      </c>
      <c r="W46" s="12">
        <v>78</v>
      </c>
      <c r="X46" s="12">
        <v>11</v>
      </c>
      <c r="Y46" s="12">
        <v>8</v>
      </c>
      <c r="Z46" s="12">
        <v>37</v>
      </c>
      <c r="AA46" s="12">
        <v>34</v>
      </c>
      <c r="AB46" s="12">
        <v>23</v>
      </c>
      <c r="AC46" s="12">
        <v>17</v>
      </c>
      <c r="AD46" s="12">
        <v>2</v>
      </c>
      <c r="AE46" s="12">
        <v>7</v>
      </c>
      <c r="AF46" s="12">
        <v>26</v>
      </c>
      <c r="AG46" s="12">
        <v>46</v>
      </c>
      <c r="AH46" s="12">
        <v>71</v>
      </c>
      <c r="AI46" s="12">
        <v>21</v>
      </c>
      <c r="AJ46" s="12">
        <v>15</v>
      </c>
      <c r="AK46" s="12">
        <v>14</v>
      </c>
      <c r="AL46" s="12">
        <v>12</v>
      </c>
      <c r="AM46" s="12">
        <v>19</v>
      </c>
      <c r="AN46" s="12">
        <v>22</v>
      </c>
      <c r="AO46" s="12">
        <v>3</v>
      </c>
      <c r="AP46" s="12">
        <v>11</v>
      </c>
      <c r="AQ46" s="12">
        <v>28</v>
      </c>
      <c r="AR46" s="12">
        <v>50</v>
      </c>
      <c r="AS46" s="12">
        <v>25</v>
      </c>
      <c r="AT46" s="12">
        <v>8</v>
      </c>
      <c r="AU46" s="12">
        <v>10</v>
      </c>
      <c r="AV46" s="12">
        <v>20</v>
      </c>
      <c r="AW46" s="12">
        <v>10</v>
      </c>
      <c r="AX46" s="12">
        <v>10</v>
      </c>
      <c r="AY46" s="12">
        <v>9</v>
      </c>
      <c r="AZ46" s="12">
        <v>22</v>
      </c>
      <c r="BA46" s="12">
        <v>55</v>
      </c>
      <c r="BB46" s="12">
        <v>6</v>
      </c>
      <c r="BC46" s="12">
        <v>32</v>
      </c>
      <c r="BD46" s="12">
        <v>13</v>
      </c>
      <c r="BE46" s="12">
        <v>24</v>
      </c>
      <c r="BF46" s="12">
        <v>15</v>
      </c>
      <c r="BG46" s="35"/>
      <c r="BH46" s="35"/>
      <c r="BI46" s="35"/>
      <c r="BJ46" s="35"/>
      <c r="BK46" s="35"/>
      <c r="BL46" s="35"/>
      <c r="BM46" s="35"/>
      <c r="BN46" s="35">
        <v>34</v>
      </c>
      <c r="BO46" s="35">
        <v>46</v>
      </c>
      <c r="BP46" s="38">
        <v>15</v>
      </c>
      <c r="BQ46" s="38">
        <v>24</v>
      </c>
    </row>
    <row r="47" spans="1:69" x14ac:dyDescent="0.25">
      <c r="A47" t="s">
        <v>270</v>
      </c>
      <c r="B47" s="12">
        <v>1</v>
      </c>
      <c r="C47" s="12">
        <v>1</v>
      </c>
      <c r="D47" s="12">
        <v>1</v>
      </c>
      <c r="E47" s="12">
        <v>1</v>
      </c>
      <c r="F47" s="12">
        <v>1</v>
      </c>
      <c r="G47" s="12">
        <v>1</v>
      </c>
      <c r="H47" s="12">
        <v>1</v>
      </c>
      <c r="I47" s="12">
        <v>3</v>
      </c>
      <c r="J47" s="12">
        <v>1</v>
      </c>
      <c r="K47" s="12">
        <v>1</v>
      </c>
      <c r="L47" s="12">
        <v>1</v>
      </c>
      <c r="M47" s="12">
        <v>1</v>
      </c>
      <c r="N47" s="12">
        <v>1</v>
      </c>
      <c r="O47" s="18">
        <v>0</v>
      </c>
      <c r="P47" s="12">
        <v>0</v>
      </c>
      <c r="Q47" s="12">
        <v>1</v>
      </c>
      <c r="R47" s="12">
        <v>3</v>
      </c>
      <c r="S47" s="12">
        <v>1</v>
      </c>
      <c r="T47" s="12">
        <v>1</v>
      </c>
      <c r="U47" s="12">
        <v>1</v>
      </c>
      <c r="V47" s="12">
        <v>1</v>
      </c>
      <c r="W47" s="12">
        <v>1</v>
      </c>
      <c r="X47" s="12">
        <v>2</v>
      </c>
      <c r="Y47" s="12">
        <v>1</v>
      </c>
      <c r="Z47" s="12">
        <v>1</v>
      </c>
      <c r="AA47" s="12">
        <v>1</v>
      </c>
      <c r="AB47" s="12">
        <v>0</v>
      </c>
      <c r="AC47" s="12">
        <v>1</v>
      </c>
      <c r="AD47" s="12">
        <v>1</v>
      </c>
      <c r="AE47" s="12">
        <v>1</v>
      </c>
      <c r="AF47" s="12">
        <v>2</v>
      </c>
      <c r="AG47" s="12">
        <v>1</v>
      </c>
      <c r="AH47" s="12">
        <v>1</v>
      </c>
      <c r="AI47" s="12">
        <v>1</v>
      </c>
      <c r="AJ47" s="12">
        <v>1</v>
      </c>
      <c r="AK47" s="12">
        <v>1</v>
      </c>
      <c r="AL47" s="12">
        <v>1</v>
      </c>
      <c r="AM47" s="12">
        <v>1</v>
      </c>
      <c r="AN47" s="12">
        <v>1</v>
      </c>
      <c r="AO47" s="12">
        <v>1</v>
      </c>
      <c r="AP47" s="12">
        <v>2</v>
      </c>
      <c r="AQ47" s="12">
        <v>1</v>
      </c>
      <c r="AR47" s="12">
        <v>1</v>
      </c>
      <c r="AS47" s="12">
        <v>1</v>
      </c>
      <c r="AT47" s="12">
        <v>1</v>
      </c>
      <c r="AU47" s="12">
        <v>1</v>
      </c>
      <c r="AV47" s="12">
        <v>1</v>
      </c>
      <c r="AW47" s="12">
        <v>1</v>
      </c>
      <c r="AX47" s="12">
        <v>1</v>
      </c>
      <c r="AY47" s="12">
        <v>1</v>
      </c>
      <c r="AZ47" s="12">
        <v>1</v>
      </c>
      <c r="BA47" s="12">
        <v>1</v>
      </c>
      <c r="BB47" s="12">
        <v>1</v>
      </c>
      <c r="BC47" s="12">
        <v>1</v>
      </c>
      <c r="BD47" s="12">
        <v>1</v>
      </c>
      <c r="BE47" s="12">
        <v>4</v>
      </c>
      <c r="BF47" s="12">
        <v>1</v>
      </c>
      <c r="BG47" s="35">
        <v>1</v>
      </c>
      <c r="BH47" s="35">
        <v>1</v>
      </c>
      <c r="BI47" s="35">
        <v>1</v>
      </c>
      <c r="BJ47" s="35">
        <v>1</v>
      </c>
      <c r="BK47" s="35">
        <v>1</v>
      </c>
      <c r="BL47" s="35">
        <v>1</v>
      </c>
      <c r="BM47" s="35">
        <v>1</v>
      </c>
      <c r="BN47" s="35">
        <v>1</v>
      </c>
      <c r="BO47" s="35">
        <v>1</v>
      </c>
      <c r="BP47" s="38">
        <v>1</v>
      </c>
      <c r="BQ47" s="38">
        <v>1</v>
      </c>
    </row>
    <row r="48" spans="1:69" x14ac:dyDescent="0.25">
      <c r="A48" t="s">
        <v>274</v>
      </c>
      <c r="B48" s="12">
        <f>IF(B47=1,1,0)</f>
        <v>1</v>
      </c>
      <c r="C48" s="12">
        <f t="shared" ref="C48:AB48" si="40">IF(C47=1,1,0)</f>
        <v>1</v>
      </c>
      <c r="D48" s="12">
        <f t="shared" si="40"/>
        <v>1</v>
      </c>
      <c r="E48" s="12">
        <f t="shared" si="40"/>
        <v>1</v>
      </c>
      <c r="F48" s="12">
        <f t="shared" si="40"/>
        <v>1</v>
      </c>
      <c r="G48" s="12">
        <f t="shared" si="40"/>
        <v>1</v>
      </c>
      <c r="H48" s="12">
        <f t="shared" si="40"/>
        <v>1</v>
      </c>
      <c r="I48" s="12">
        <f t="shared" si="40"/>
        <v>0</v>
      </c>
      <c r="J48" s="12">
        <f t="shared" si="40"/>
        <v>1</v>
      </c>
      <c r="K48" s="12">
        <f t="shared" si="40"/>
        <v>1</v>
      </c>
      <c r="L48" s="12">
        <f t="shared" si="40"/>
        <v>1</v>
      </c>
      <c r="M48" s="12">
        <f t="shared" si="40"/>
        <v>1</v>
      </c>
      <c r="N48" s="12">
        <f t="shared" si="40"/>
        <v>1</v>
      </c>
      <c r="O48" s="12">
        <f t="shared" si="40"/>
        <v>0</v>
      </c>
      <c r="P48" s="12">
        <f t="shared" si="40"/>
        <v>0</v>
      </c>
      <c r="Q48" s="12">
        <f t="shared" si="40"/>
        <v>1</v>
      </c>
      <c r="R48" s="12">
        <f t="shared" si="40"/>
        <v>0</v>
      </c>
      <c r="S48" s="12">
        <f t="shared" si="40"/>
        <v>1</v>
      </c>
      <c r="T48" s="12">
        <f t="shared" si="40"/>
        <v>1</v>
      </c>
      <c r="U48" s="12">
        <f t="shared" si="40"/>
        <v>1</v>
      </c>
      <c r="V48" s="12">
        <f t="shared" si="40"/>
        <v>1</v>
      </c>
      <c r="W48" s="12">
        <f t="shared" si="40"/>
        <v>1</v>
      </c>
      <c r="X48" s="12">
        <f t="shared" si="40"/>
        <v>0</v>
      </c>
      <c r="Y48" s="12">
        <f t="shared" si="40"/>
        <v>1</v>
      </c>
      <c r="Z48" s="12">
        <f t="shared" si="40"/>
        <v>1</v>
      </c>
      <c r="AA48" s="12">
        <f t="shared" si="40"/>
        <v>1</v>
      </c>
      <c r="AB48" s="12">
        <f t="shared" si="40"/>
        <v>0</v>
      </c>
      <c r="AC48" s="12">
        <f>IF(AC47=1,1,0)</f>
        <v>1</v>
      </c>
      <c r="AD48" s="12">
        <f t="shared" ref="AD48:BF48" si="41">IF(AD47=1,1,0)</f>
        <v>1</v>
      </c>
      <c r="AE48" s="12">
        <f t="shared" si="41"/>
        <v>1</v>
      </c>
      <c r="AF48" s="12">
        <f t="shared" si="41"/>
        <v>0</v>
      </c>
      <c r="AG48" s="12">
        <f t="shared" si="41"/>
        <v>1</v>
      </c>
      <c r="AH48" s="12">
        <f t="shared" si="41"/>
        <v>1</v>
      </c>
      <c r="AI48" s="12">
        <f t="shared" si="41"/>
        <v>1</v>
      </c>
      <c r="AJ48" s="12">
        <f t="shared" si="41"/>
        <v>1</v>
      </c>
      <c r="AK48" s="12">
        <f t="shared" si="41"/>
        <v>1</v>
      </c>
      <c r="AL48" s="12">
        <f t="shared" si="41"/>
        <v>1</v>
      </c>
      <c r="AM48" s="12">
        <f t="shared" si="41"/>
        <v>1</v>
      </c>
      <c r="AN48" s="12">
        <f t="shared" si="41"/>
        <v>1</v>
      </c>
      <c r="AO48" s="12">
        <f t="shared" si="41"/>
        <v>1</v>
      </c>
      <c r="AP48" s="12">
        <f t="shared" si="41"/>
        <v>0</v>
      </c>
      <c r="AQ48" s="12">
        <f t="shared" si="41"/>
        <v>1</v>
      </c>
      <c r="AR48" s="12">
        <f t="shared" si="41"/>
        <v>1</v>
      </c>
      <c r="AS48" s="12">
        <f t="shared" si="41"/>
        <v>1</v>
      </c>
      <c r="AT48" s="12">
        <f t="shared" si="41"/>
        <v>1</v>
      </c>
      <c r="AU48" s="12">
        <f t="shared" si="41"/>
        <v>1</v>
      </c>
      <c r="AV48" s="12">
        <f t="shared" si="41"/>
        <v>1</v>
      </c>
      <c r="AW48" s="12">
        <f t="shared" si="41"/>
        <v>1</v>
      </c>
      <c r="AX48" s="12">
        <f t="shared" si="41"/>
        <v>1</v>
      </c>
      <c r="AY48" s="12">
        <f t="shared" si="41"/>
        <v>1</v>
      </c>
      <c r="AZ48" s="12">
        <f t="shared" si="41"/>
        <v>1</v>
      </c>
      <c r="BA48" s="12">
        <f t="shared" si="41"/>
        <v>1</v>
      </c>
      <c r="BB48" s="12">
        <f t="shared" si="41"/>
        <v>1</v>
      </c>
      <c r="BC48" s="12">
        <f t="shared" si="41"/>
        <v>1</v>
      </c>
      <c r="BD48" s="12">
        <f t="shared" si="41"/>
        <v>1</v>
      </c>
      <c r="BE48" s="12">
        <f t="shared" si="41"/>
        <v>0</v>
      </c>
      <c r="BF48" s="12">
        <f t="shared" si="41"/>
        <v>1</v>
      </c>
      <c r="BG48" s="35">
        <f t="shared" ref="BG48:BP48" si="42">IF(BG47=1,1,0)</f>
        <v>1</v>
      </c>
      <c r="BH48" s="35">
        <f t="shared" si="42"/>
        <v>1</v>
      </c>
      <c r="BI48" s="35">
        <f t="shared" si="42"/>
        <v>1</v>
      </c>
      <c r="BJ48" s="35">
        <f t="shared" si="42"/>
        <v>1</v>
      </c>
      <c r="BK48" s="35">
        <f t="shared" si="42"/>
        <v>1</v>
      </c>
      <c r="BL48" s="35">
        <f t="shared" si="42"/>
        <v>1</v>
      </c>
      <c r="BM48" s="35">
        <f t="shared" si="42"/>
        <v>1</v>
      </c>
      <c r="BN48" s="35">
        <f t="shared" si="42"/>
        <v>1</v>
      </c>
      <c r="BO48" s="35">
        <f t="shared" si="42"/>
        <v>1</v>
      </c>
      <c r="BP48" s="35">
        <f t="shared" si="42"/>
        <v>1</v>
      </c>
      <c r="BQ48" s="35">
        <f t="shared" ref="BQ48" si="43">IF(BQ47=1,1,0)</f>
        <v>1</v>
      </c>
    </row>
    <row r="49" spans="1:69" x14ac:dyDescent="0.25">
      <c r="A49" t="s">
        <v>275</v>
      </c>
      <c r="B49" s="12">
        <v>5</v>
      </c>
      <c r="C49" s="12">
        <v>4</v>
      </c>
      <c r="D49" s="12">
        <v>4</v>
      </c>
      <c r="E49" s="12">
        <v>15</v>
      </c>
      <c r="F49" s="12">
        <v>7</v>
      </c>
      <c r="G49" s="12">
        <v>5</v>
      </c>
      <c r="H49" s="12">
        <v>12</v>
      </c>
      <c r="I49" s="12">
        <v>31</v>
      </c>
      <c r="J49" s="12">
        <v>13</v>
      </c>
      <c r="K49" s="12">
        <v>13</v>
      </c>
      <c r="L49" s="12">
        <v>7</v>
      </c>
      <c r="M49" s="12">
        <v>3</v>
      </c>
      <c r="N49" s="12">
        <v>4</v>
      </c>
      <c r="O49" s="12">
        <v>1</v>
      </c>
      <c r="P49" s="12">
        <v>8</v>
      </c>
      <c r="Q49" s="12">
        <v>5</v>
      </c>
      <c r="R49" s="12">
        <v>28</v>
      </c>
      <c r="S49" s="12">
        <v>10</v>
      </c>
      <c r="T49" s="12">
        <v>3</v>
      </c>
      <c r="U49" s="12">
        <v>9</v>
      </c>
      <c r="V49" s="12">
        <v>6</v>
      </c>
      <c r="W49" s="12">
        <v>15</v>
      </c>
      <c r="X49" s="12">
        <v>6</v>
      </c>
      <c r="Y49" s="12">
        <v>3</v>
      </c>
      <c r="Z49" s="12">
        <v>7</v>
      </c>
      <c r="AA49" s="12">
        <v>9</v>
      </c>
      <c r="AB49" s="12">
        <v>13</v>
      </c>
      <c r="AC49" s="12">
        <v>23</v>
      </c>
      <c r="AD49" s="12">
        <v>7</v>
      </c>
      <c r="AE49" s="12">
        <v>6</v>
      </c>
      <c r="AF49" s="12">
        <v>22</v>
      </c>
      <c r="AG49" s="12">
        <v>11</v>
      </c>
      <c r="AH49" s="12">
        <v>9</v>
      </c>
      <c r="AI49" s="12">
        <v>7</v>
      </c>
      <c r="AJ49" s="12">
        <v>8</v>
      </c>
      <c r="AK49" s="12">
        <v>21</v>
      </c>
      <c r="AL49" s="12">
        <v>6</v>
      </c>
      <c r="AM49" s="12">
        <v>5</v>
      </c>
      <c r="AN49" s="12">
        <v>4</v>
      </c>
      <c r="AO49" s="12">
        <v>2</v>
      </c>
      <c r="AP49" s="12">
        <v>15</v>
      </c>
      <c r="AQ49" s="12">
        <v>4</v>
      </c>
      <c r="AR49" s="12">
        <v>5</v>
      </c>
      <c r="AS49" s="12">
        <v>20</v>
      </c>
      <c r="AT49" s="12">
        <v>6</v>
      </c>
      <c r="AU49" s="12">
        <v>6</v>
      </c>
      <c r="AV49" s="12">
        <v>6</v>
      </c>
      <c r="AW49" s="12">
        <v>6</v>
      </c>
      <c r="AX49" s="12">
        <v>5</v>
      </c>
      <c r="AY49" s="12">
        <v>7</v>
      </c>
      <c r="AZ49" s="12">
        <v>6</v>
      </c>
      <c r="BA49" s="12">
        <v>38</v>
      </c>
      <c r="BB49" s="12">
        <v>6</v>
      </c>
      <c r="BC49" s="12">
        <v>6</v>
      </c>
      <c r="BD49" s="12">
        <v>4</v>
      </c>
      <c r="BE49" s="12">
        <v>8</v>
      </c>
      <c r="BF49" s="12">
        <v>5</v>
      </c>
      <c r="BG49" s="35"/>
      <c r="BH49" s="35"/>
      <c r="BI49" s="35"/>
      <c r="BJ49" s="35"/>
      <c r="BK49" s="35"/>
      <c r="BL49" s="35"/>
      <c r="BM49" s="35"/>
      <c r="BN49" s="35">
        <v>7</v>
      </c>
      <c r="BO49" s="35">
        <v>12</v>
      </c>
      <c r="BP49" s="38">
        <v>5</v>
      </c>
      <c r="BQ49" s="38">
        <v>10</v>
      </c>
    </row>
    <row r="50" spans="1:69" x14ac:dyDescent="0.25">
      <c r="A50" t="s">
        <v>276</v>
      </c>
      <c r="B50" s="12">
        <v>3</v>
      </c>
      <c r="C50" s="12">
        <v>0</v>
      </c>
      <c r="D50" s="12">
        <v>0</v>
      </c>
      <c r="E50" s="12">
        <v>3</v>
      </c>
      <c r="F50" s="12">
        <v>3</v>
      </c>
      <c r="G50" s="12">
        <v>3</v>
      </c>
      <c r="H50" s="12">
        <v>0</v>
      </c>
      <c r="I50" s="12">
        <v>1</v>
      </c>
      <c r="J50" s="12">
        <v>3</v>
      </c>
      <c r="K50" s="12">
        <v>3</v>
      </c>
      <c r="L50" s="12">
        <v>3</v>
      </c>
      <c r="M50" s="12">
        <v>3</v>
      </c>
      <c r="N50" s="12">
        <v>3</v>
      </c>
      <c r="O50" s="18">
        <v>0</v>
      </c>
      <c r="P50" s="12">
        <v>3</v>
      </c>
      <c r="Q50" s="12">
        <v>0</v>
      </c>
      <c r="R50" s="12">
        <v>0</v>
      </c>
      <c r="S50" s="12">
        <v>3</v>
      </c>
      <c r="T50" s="12">
        <v>3</v>
      </c>
      <c r="U50" s="12">
        <v>3</v>
      </c>
      <c r="V50" s="12">
        <v>3</v>
      </c>
      <c r="W50" s="12">
        <v>3</v>
      </c>
      <c r="X50" s="12">
        <v>3</v>
      </c>
      <c r="Y50" s="12">
        <v>3</v>
      </c>
      <c r="Z50" s="12">
        <v>3</v>
      </c>
      <c r="AA50" s="12">
        <v>3</v>
      </c>
      <c r="AB50" s="12">
        <v>1</v>
      </c>
      <c r="AC50" s="12">
        <v>1</v>
      </c>
      <c r="AD50" s="12">
        <v>3</v>
      </c>
      <c r="AE50" s="12">
        <v>3</v>
      </c>
      <c r="AF50" s="12">
        <v>0</v>
      </c>
      <c r="AG50" s="12">
        <v>3</v>
      </c>
      <c r="AH50" s="12">
        <v>3</v>
      </c>
      <c r="AI50" s="12">
        <v>3</v>
      </c>
      <c r="AJ50" s="12">
        <v>1</v>
      </c>
      <c r="AK50" s="12">
        <v>3</v>
      </c>
      <c r="AL50" s="12">
        <v>3</v>
      </c>
      <c r="AM50" s="12">
        <v>0</v>
      </c>
      <c r="AN50" s="12">
        <v>0</v>
      </c>
      <c r="AO50" s="12">
        <v>3</v>
      </c>
      <c r="AP50" s="12">
        <v>3</v>
      </c>
      <c r="AQ50" s="12">
        <v>3</v>
      </c>
      <c r="AR50" s="12">
        <v>0</v>
      </c>
      <c r="AS50" s="12">
        <v>3</v>
      </c>
      <c r="AT50" s="12">
        <v>3</v>
      </c>
      <c r="AU50" s="12">
        <v>3</v>
      </c>
      <c r="AV50" s="12">
        <v>3</v>
      </c>
      <c r="AW50" s="12">
        <v>0</v>
      </c>
      <c r="AX50" s="12">
        <v>3</v>
      </c>
      <c r="AY50" s="12">
        <v>3</v>
      </c>
      <c r="AZ50" s="12">
        <v>0</v>
      </c>
      <c r="BA50" s="12">
        <v>3</v>
      </c>
      <c r="BB50" s="12">
        <v>2</v>
      </c>
      <c r="BC50" s="12">
        <v>1</v>
      </c>
      <c r="BD50" s="12">
        <v>3</v>
      </c>
      <c r="BE50" s="12">
        <v>0</v>
      </c>
      <c r="BF50" s="12">
        <v>0</v>
      </c>
      <c r="BG50" s="35">
        <v>3</v>
      </c>
      <c r="BH50" s="35">
        <v>3</v>
      </c>
      <c r="BI50" s="35">
        <v>3</v>
      </c>
      <c r="BJ50" s="35">
        <v>3</v>
      </c>
      <c r="BK50" s="35">
        <v>2</v>
      </c>
      <c r="BL50" s="35">
        <v>3</v>
      </c>
      <c r="BM50" s="35">
        <v>2</v>
      </c>
      <c r="BN50" s="35">
        <v>3</v>
      </c>
      <c r="BO50" s="35">
        <v>3</v>
      </c>
      <c r="BP50" s="38">
        <v>0</v>
      </c>
      <c r="BQ50" s="38">
        <v>3</v>
      </c>
    </row>
    <row r="51" spans="1:69" x14ac:dyDescent="0.25">
      <c r="A51" t="s">
        <v>280</v>
      </c>
      <c r="B51" s="12">
        <f>IF(B50=3,1,0)</f>
        <v>1</v>
      </c>
      <c r="C51" s="12">
        <f t="shared" ref="C51:AB51" si="44">IF(C50=3,1,0)</f>
        <v>0</v>
      </c>
      <c r="D51" s="12">
        <f t="shared" si="44"/>
        <v>0</v>
      </c>
      <c r="E51" s="12">
        <f t="shared" si="44"/>
        <v>1</v>
      </c>
      <c r="F51" s="12">
        <f t="shared" si="44"/>
        <v>1</v>
      </c>
      <c r="G51" s="12">
        <f t="shared" si="44"/>
        <v>1</v>
      </c>
      <c r="H51" s="12">
        <f t="shared" si="44"/>
        <v>0</v>
      </c>
      <c r="I51" s="12">
        <f t="shared" si="44"/>
        <v>0</v>
      </c>
      <c r="J51" s="12">
        <f t="shared" si="44"/>
        <v>1</v>
      </c>
      <c r="K51" s="12">
        <f t="shared" si="44"/>
        <v>1</v>
      </c>
      <c r="L51" s="12">
        <f t="shared" si="44"/>
        <v>1</v>
      </c>
      <c r="M51" s="12">
        <f t="shared" si="44"/>
        <v>1</v>
      </c>
      <c r="N51" s="12">
        <f t="shared" si="44"/>
        <v>1</v>
      </c>
      <c r="O51" s="12">
        <f t="shared" si="44"/>
        <v>0</v>
      </c>
      <c r="P51" s="12">
        <f t="shared" si="44"/>
        <v>1</v>
      </c>
      <c r="Q51" s="12">
        <f t="shared" si="44"/>
        <v>0</v>
      </c>
      <c r="R51" s="12">
        <f t="shared" si="44"/>
        <v>0</v>
      </c>
      <c r="S51" s="12">
        <f t="shared" si="44"/>
        <v>1</v>
      </c>
      <c r="T51" s="12">
        <f t="shared" si="44"/>
        <v>1</v>
      </c>
      <c r="U51" s="12">
        <f t="shared" si="44"/>
        <v>1</v>
      </c>
      <c r="V51" s="12">
        <f t="shared" si="44"/>
        <v>1</v>
      </c>
      <c r="W51" s="12">
        <f t="shared" si="44"/>
        <v>1</v>
      </c>
      <c r="X51" s="12">
        <f t="shared" si="44"/>
        <v>1</v>
      </c>
      <c r="Y51" s="12">
        <f t="shared" si="44"/>
        <v>1</v>
      </c>
      <c r="Z51" s="12">
        <f t="shared" si="44"/>
        <v>1</v>
      </c>
      <c r="AA51" s="12">
        <f t="shared" si="44"/>
        <v>1</v>
      </c>
      <c r="AB51" s="12">
        <f t="shared" si="44"/>
        <v>0</v>
      </c>
      <c r="AC51" s="12">
        <f>IF(AC50=3,1,0)</f>
        <v>0</v>
      </c>
      <c r="AD51" s="12">
        <f t="shared" ref="AD51:BF51" si="45">IF(AD50=3,1,0)</f>
        <v>1</v>
      </c>
      <c r="AE51" s="12">
        <f t="shared" si="45"/>
        <v>1</v>
      </c>
      <c r="AF51" s="12">
        <f t="shared" si="45"/>
        <v>0</v>
      </c>
      <c r="AG51" s="12">
        <f t="shared" si="45"/>
        <v>1</v>
      </c>
      <c r="AH51" s="12">
        <f t="shared" si="45"/>
        <v>1</v>
      </c>
      <c r="AI51" s="12">
        <f t="shared" si="45"/>
        <v>1</v>
      </c>
      <c r="AJ51" s="12">
        <f t="shared" si="45"/>
        <v>0</v>
      </c>
      <c r="AK51" s="12">
        <f t="shared" si="45"/>
        <v>1</v>
      </c>
      <c r="AL51" s="12">
        <f t="shared" si="45"/>
        <v>1</v>
      </c>
      <c r="AM51" s="12">
        <f t="shared" si="45"/>
        <v>0</v>
      </c>
      <c r="AN51" s="12">
        <f t="shared" si="45"/>
        <v>0</v>
      </c>
      <c r="AO51" s="12">
        <f t="shared" si="45"/>
        <v>1</v>
      </c>
      <c r="AP51" s="12">
        <f t="shared" si="45"/>
        <v>1</v>
      </c>
      <c r="AQ51" s="12">
        <f t="shared" si="45"/>
        <v>1</v>
      </c>
      <c r="AR51" s="12">
        <f t="shared" si="45"/>
        <v>0</v>
      </c>
      <c r="AS51" s="12">
        <f t="shared" si="45"/>
        <v>1</v>
      </c>
      <c r="AT51" s="12">
        <f t="shared" si="45"/>
        <v>1</v>
      </c>
      <c r="AU51" s="12">
        <f t="shared" si="45"/>
        <v>1</v>
      </c>
      <c r="AV51" s="12">
        <f t="shared" si="45"/>
        <v>1</v>
      </c>
      <c r="AW51" s="12">
        <f t="shared" si="45"/>
        <v>0</v>
      </c>
      <c r="AX51" s="12">
        <f t="shared" si="45"/>
        <v>1</v>
      </c>
      <c r="AY51" s="12">
        <f t="shared" si="45"/>
        <v>1</v>
      </c>
      <c r="AZ51" s="12">
        <f t="shared" si="45"/>
        <v>0</v>
      </c>
      <c r="BA51" s="12">
        <f t="shared" si="45"/>
        <v>1</v>
      </c>
      <c r="BB51" s="12">
        <f t="shared" si="45"/>
        <v>0</v>
      </c>
      <c r="BC51" s="12">
        <f t="shared" si="45"/>
        <v>0</v>
      </c>
      <c r="BD51" s="12">
        <f t="shared" si="45"/>
        <v>1</v>
      </c>
      <c r="BE51" s="12">
        <f t="shared" si="45"/>
        <v>0</v>
      </c>
      <c r="BF51" s="12">
        <f t="shared" si="45"/>
        <v>0</v>
      </c>
      <c r="BG51" s="35">
        <f t="shared" ref="BG51:BP51" si="46">IF(BG50=3,1,0)</f>
        <v>1</v>
      </c>
      <c r="BH51" s="35">
        <f t="shared" si="46"/>
        <v>1</v>
      </c>
      <c r="BI51" s="35">
        <f t="shared" si="46"/>
        <v>1</v>
      </c>
      <c r="BJ51" s="35">
        <f t="shared" si="46"/>
        <v>1</v>
      </c>
      <c r="BK51" s="35">
        <f t="shared" si="46"/>
        <v>0</v>
      </c>
      <c r="BL51" s="35">
        <f t="shared" si="46"/>
        <v>1</v>
      </c>
      <c r="BM51" s="35">
        <f t="shared" si="46"/>
        <v>0</v>
      </c>
      <c r="BN51" s="35">
        <f t="shared" si="46"/>
        <v>1</v>
      </c>
      <c r="BO51" s="35">
        <f t="shared" si="46"/>
        <v>1</v>
      </c>
      <c r="BP51" s="35">
        <f t="shared" si="46"/>
        <v>0</v>
      </c>
      <c r="BQ51" s="35">
        <f t="shared" ref="BQ51" si="47">IF(BQ50=3,1,0)</f>
        <v>1</v>
      </c>
    </row>
    <row r="52" spans="1:69" x14ac:dyDescent="0.25">
      <c r="A52" t="s">
        <v>281</v>
      </c>
      <c r="B52" s="12">
        <v>20</v>
      </c>
      <c r="C52" s="12">
        <v>19</v>
      </c>
      <c r="D52" s="12">
        <v>37</v>
      </c>
      <c r="E52" s="12">
        <v>91</v>
      </c>
      <c r="F52" s="12">
        <v>36</v>
      </c>
      <c r="G52" s="12">
        <v>57</v>
      </c>
      <c r="H52" s="12">
        <v>182</v>
      </c>
      <c r="I52" s="12">
        <v>32</v>
      </c>
      <c r="J52" s="12">
        <v>47</v>
      </c>
      <c r="K52" s="12">
        <v>242</v>
      </c>
      <c r="L52" s="12">
        <v>3</v>
      </c>
      <c r="M52" s="12">
        <v>20</v>
      </c>
      <c r="N52" s="12">
        <v>16</v>
      </c>
      <c r="O52" s="12">
        <v>2</v>
      </c>
      <c r="P52" s="12">
        <v>37</v>
      </c>
      <c r="Q52" s="12">
        <v>16</v>
      </c>
      <c r="R52" s="12">
        <v>39</v>
      </c>
      <c r="S52" s="12">
        <v>23</v>
      </c>
      <c r="T52" s="12">
        <v>20</v>
      </c>
      <c r="U52" s="12">
        <v>41</v>
      </c>
      <c r="V52" s="12">
        <v>24</v>
      </c>
      <c r="W52" s="12">
        <v>36</v>
      </c>
      <c r="X52" s="12">
        <v>11</v>
      </c>
      <c r="Y52" s="12">
        <v>21</v>
      </c>
      <c r="Z52" s="12">
        <v>21</v>
      </c>
      <c r="AA52" s="12">
        <v>21</v>
      </c>
      <c r="AB52" s="12">
        <v>48</v>
      </c>
      <c r="AC52" s="12">
        <v>58</v>
      </c>
      <c r="AD52" s="12">
        <v>2</v>
      </c>
      <c r="AE52" s="12">
        <v>11</v>
      </c>
      <c r="AF52" s="12">
        <v>65</v>
      </c>
      <c r="AG52" s="12">
        <v>30</v>
      </c>
      <c r="AH52" s="12">
        <v>170</v>
      </c>
      <c r="AI52" s="12">
        <v>24</v>
      </c>
      <c r="AJ52" s="12">
        <v>37</v>
      </c>
      <c r="AK52" s="12">
        <v>17</v>
      </c>
      <c r="AL52" s="12">
        <v>30</v>
      </c>
      <c r="AM52" s="12">
        <v>30</v>
      </c>
      <c r="AN52" s="12">
        <v>30</v>
      </c>
      <c r="AO52" s="12">
        <v>5</v>
      </c>
      <c r="AP52" s="12">
        <v>24</v>
      </c>
      <c r="AQ52" s="12">
        <v>30</v>
      </c>
      <c r="AR52" s="12">
        <v>12</v>
      </c>
      <c r="AS52" s="12">
        <v>64</v>
      </c>
      <c r="AT52" s="12">
        <v>21</v>
      </c>
      <c r="AU52" s="12">
        <v>23</v>
      </c>
      <c r="AV52" s="12">
        <v>27</v>
      </c>
      <c r="AW52" s="12">
        <v>23</v>
      </c>
      <c r="AX52" s="12">
        <v>18</v>
      </c>
      <c r="AY52" s="12">
        <v>42</v>
      </c>
      <c r="AZ52" s="12">
        <v>23</v>
      </c>
      <c r="BA52" s="12">
        <v>37</v>
      </c>
      <c r="BB52" s="12">
        <v>36</v>
      </c>
      <c r="BC52" s="12">
        <v>24</v>
      </c>
      <c r="BD52" s="12">
        <v>22</v>
      </c>
      <c r="BE52" s="12">
        <v>66</v>
      </c>
      <c r="BF52" s="12">
        <v>22</v>
      </c>
      <c r="BG52" s="35"/>
      <c r="BH52" s="35"/>
      <c r="BI52" s="35"/>
      <c r="BJ52" s="35"/>
      <c r="BK52" s="35"/>
      <c r="BL52" s="35"/>
      <c r="BM52" s="35"/>
      <c r="BN52" s="35">
        <v>37</v>
      </c>
      <c r="BO52" s="35">
        <v>121</v>
      </c>
      <c r="BP52" s="38">
        <v>30</v>
      </c>
      <c r="BQ52" s="38">
        <v>15</v>
      </c>
    </row>
    <row r="53" spans="1:69" x14ac:dyDescent="0.25">
      <c r="A53" t="s">
        <v>282</v>
      </c>
      <c r="B53" s="12">
        <v>2</v>
      </c>
      <c r="C53" s="12">
        <v>2</v>
      </c>
      <c r="D53" s="12">
        <v>2</v>
      </c>
      <c r="E53" s="12">
        <v>2</v>
      </c>
      <c r="F53" s="12">
        <v>2</v>
      </c>
      <c r="G53" s="12">
        <v>2</v>
      </c>
      <c r="H53" s="12">
        <v>2</v>
      </c>
      <c r="I53" s="12">
        <v>2</v>
      </c>
      <c r="J53" s="12">
        <v>2</v>
      </c>
      <c r="K53" s="12">
        <v>2</v>
      </c>
      <c r="L53" s="12">
        <v>2</v>
      </c>
      <c r="M53" s="12">
        <v>2</v>
      </c>
      <c r="N53" s="12">
        <v>2</v>
      </c>
      <c r="O53" s="18">
        <v>0</v>
      </c>
      <c r="P53" s="12">
        <v>2</v>
      </c>
      <c r="Q53" s="12">
        <v>2</v>
      </c>
      <c r="R53" s="12">
        <v>2</v>
      </c>
      <c r="S53" s="12">
        <v>2</v>
      </c>
      <c r="T53" s="12">
        <v>2</v>
      </c>
      <c r="U53" s="12">
        <v>2</v>
      </c>
      <c r="V53" s="12">
        <v>2</v>
      </c>
      <c r="W53" s="12">
        <v>2</v>
      </c>
      <c r="X53" s="12">
        <v>1</v>
      </c>
      <c r="Y53" s="12">
        <v>2</v>
      </c>
      <c r="Z53" s="12">
        <v>2</v>
      </c>
      <c r="AA53" s="12">
        <v>2</v>
      </c>
      <c r="AB53" s="12">
        <v>0</v>
      </c>
      <c r="AC53" s="12">
        <v>2</v>
      </c>
      <c r="AD53" s="12">
        <v>2</v>
      </c>
      <c r="AE53" s="12">
        <v>0</v>
      </c>
      <c r="AF53" s="12">
        <v>2</v>
      </c>
      <c r="AG53" s="12">
        <v>2</v>
      </c>
      <c r="AH53" s="12">
        <v>2</v>
      </c>
      <c r="AI53" s="12">
        <v>2</v>
      </c>
      <c r="AJ53" s="12">
        <v>2</v>
      </c>
      <c r="AK53" s="12">
        <v>2</v>
      </c>
      <c r="AL53" s="12">
        <v>2</v>
      </c>
      <c r="AM53" s="12">
        <v>2</v>
      </c>
      <c r="AN53" s="12">
        <v>2</v>
      </c>
      <c r="AO53" s="12">
        <v>2</v>
      </c>
      <c r="AP53" s="12">
        <v>2</v>
      </c>
      <c r="AQ53" s="12">
        <v>2</v>
      </c>
      <c r="AR53" s="12">
        <v>2</v>
      </c>
      <c r="AS53" s="12">
        <v>2</v>
      </c>
      <c r="AT53" s="12">
        <v>2</v>
      </c>
      <c r="AU53" s="12">
        <v>2</v>
      </c>
      <c r="AV53" s="12">
        <v>1</v>
      </c>
      <c r="AW53" s="12">
        <v>2</v>
      </c>
      <c r="AX53" s="12">
        <v>3</v>
      </c>
      <c r="AY53" s="12">
        <v>2</v>
      </c>
      <c r="AZ53" s="12">
        <v>2</v>
      </c>
      <c r="BA53" s="12">
        <v>2</v>
      </c>
      <c r="BB53" s="12">
        <v>2</v>
      </c>
      <c r="BC53" s="12">
        <v>1</v>
      </c>
      <c r="BD53" s="12">
        <v>2</v>
      </c>
      <c r="BE53" s="12">
        <v>2</v>
      </c>
      <c r="BF53" s="12">
        <v>2</v>
      </c>
      <c r="BG53" s="35">
        <v>2</v>
      </c>
      <c r="BH53" s="35">
        <v>2</v>
      </c>
      <c r="BI53" s="35">
        <v>2</v>
      </c>
      <c r="BJ53" s="35">
        <v>2</v>
      </c>
      <c r="BK53" s="35">
        <v>2</v>
      </c>
      <c r="BL53" s="35">
        <v>2</v>
      </c>
      <c r="BM53" s="35">
        <v>2</v>
      </c>
      <c r="BN53" s="35">
        <v>2</v>
      </c>
      <c r="BO53" s="35">
        <v>2</v>
      </c>
      <c r="BP53" s="38">
        <v>2</v>
      </c>
      <c r="BQ53" s="38">
        <v>2</v>
      </c>
    </row>
    <row r="54" spans="1:69" x14ac:dyDescent="0.25">
      <c r="A54" t="s">
        <v>286</v>
      </c>
      <c r="B54" s="12">
        <f>IF(B53=2,1,0)</f>
        <v>1</v>
      </c>
      <c r="C54" s="12">
        <f t="shared" ref="C54:AB54" si="48">IF(C53=2,1,0)</f>
        <v>1</v>
      </c>
      <c r="D54" s="12">
        <f t="shared" si="48"/>
        <v>1</v>
      </c>
      <c r="E54" s="12">
        <f t="shared" si="48"/>
        <v>1</v>
      </c>
      <c r="F54" s="12">
        <f t="shared" si="48"/>
        <v>1</v>
      </c>
      <c r="G54" s="12">
        <f t="shared" si="48"/>
        <v>1</v>
      </c>
      <c r="H54" s="12">
        <f t="shared" si="48"/>
        <v>1</v>
      </c>
      <c r="I54" s="12">
        <f t="shared" si="48"/>
        <v>1</v>
      </c>
      <c r="J54" s="12">
        <f t="shared" si="48"/>
        <v>1</v>
      </c>
      <c r="K54" s="12">
        <f t="shared" si="48"/>
        <v>1</v>
      </c>
      <c r="L54" s="12">
        <f t="shared" si="48"/>
        <v>1</v>
      </c>
      <c r="M54" s="12">
        <f t="shared" si="48"/>
        <v>1</v>
      </c>
      <c r="N54" s="12">
        <f t="shared" si="48"/>
        <v>1</v>
      </c>
      <c r="O54" s="12">
        <f t="shared" si="48"/>
        <v>0</v>
      </c>
      <c r="P54" s="12">
        <f t="shared" si="48"/>
        <v>1</v>
      </c>
      <c r="Q54" s="12">
        <f t="shared" si="48"/>
        <v>1</v>
      </c>
      <c r="R54" s="12">
        <f t="shared" si="48"/>
        <v>1</v>
      </c>
      <c r="S54" s="12">
        <f t="shared" si="48"/>
        <v>1</v>
      </c>
      <c r="T54" s="12">
        <f t="shared" si="48"/>
        <v>1</v>
      </c>
      <c r="U54" s="12">
        <f t="shared" si="48"/>
        <v>1</v>
      </c>
      <c r="V54" s="12">
        <f t="shared" si="48"/>
        <v>1</v>
      </c>
      <c r="W54" s="12">
        <f t="shared" si="48"/>
        <v>1</v>
      </c>
      <c r="X54" s="12">
        <f t="shared" si="48"/>
        <v>0</v>
      </c>
      <c r="Y54" s="12">
        <f t="shared" si="48"/>
        <v>1</v>
      </c>
      <c r="Z54" s="12">
        <f t="shared" si="48"/>
        <v>1</v>
      </c>
      <c r="AA54" s="12">
        <f t="shared" si="48"/>
        <v>1</v>
      </c>
      <c r="AB54" s="12">
        <f t="shared" si="48"/>
        <v>0</v>
      </c>
      <c r="AC54" s="12">
        <f>IF(AC53=2,1,0)</f>
        <v>1</v>
      </c>
      <c r="AD54" s="12">
        <f t="shared" ref="AD54:BF54" si="49">IF(AD53=2,1,0)</f>
        <v>1</v>
      </c>
      <c r="AE54" s="12">
        <f t="shared" si="49"/>
        <v>0</v>
      </c>
      <c r="AF54" s="12">
        <f t="shared" si="49"/>
        <v>1</v>
      </c>
      <c r="AG54" s="12">
        <f t="shared" si="49"/>
        <v>1</v>
      </c>
      <c r="AH54" s="12">
        <f t="shared" si="49"/>
        <v>1</v>
      </c>
      <c r="AI54" s="12">
        <f t="shared" si="49"/>
        <v>1</v>
      </c>
      <c r="AJ54" s="12">
        <f t="shared" si="49"/>
        <v>1</v>
      </c>
      <c r="AK54" s="12">
        <f t="shared" si="49"/>
        <v>1</v>
      </c>
      <c r="AL54" s="12">
        <f t="shared" si="49"/>
        <v>1</v>
      </c>
      <c r="AM54" s="12">
        <f t="shared" si="49"/>
        <v>1</v>
      </c>
      <c r="AN54" s="12">
        <f t="shared" si="49"/>
        <v>1</v>
      </c>
      <c r="AO54" s="12">
        <f t="shared" si="49"/>
        <v>1</v>
      </c>
      <c r="AP54" s="12">
        <f t="shared" si="49"/>
        <v>1</v>
      </c>
      <c r="AQ54" s="12">
        <f t="shared" si="49"/>
        <v>1</v>
      </c>
      <c r="AR54" s="12">
        <f t="shared" si="49"/>
        <v>1</v>
      </c>
      <c r="AS54" s="12">
        <f t="shared" si="49"/>
        <v>1</v>
      </c>
      <c r="AT54" s="12">
        <f t="shared" si="49"/>
        <v>1</v>
      </c>
      <c r="AU54" s="12">
        <f t="shared" si="49"/>
        <v>1</v>
      </c>
      <c r="AV54" s="12">
        <f t="shared" si="49"/>
        <v>0</v>
      </c>
      <c r="AW54" s="12">
        <f t="shared" si="49"/>
        <v>1</v>
      </c>
      <c r="AX54" s="12">
        <f t="shared" si="49"/>
        <v>0</v>
      </c>
      <c r="AY54" s="12">
        <f t="shared" si="49"/>
        <v>1</v>
      </c>
      <c r="AZ54" s="12">
        <f t="shared" si="49"/>
        <v>1</v>
      </c>
      <c r="BA54" s="12">
        <f t="shared" si="49"/>
        <v>1</v>
      </c>
      <c r="BB54" s="12">
        <f t="shared" si="49"/>
        <v>1</v>
      </c>
      <c r="BC54" s="12">
        <f t="shared" si="49"/>
        <v>0</v>
      </c>
      <c r="BD54" s="12">
        <f t="shared" si="49"/>
        <v>1</v>
      </c>
      <c r="BE54" s="12">
        <f t="shared" si="49"/>
        <v>1</v>
      </c>
      <c r="BF54" s="12">
        <f t="shared" si="49"/>
        <v>1</v>
      </c>
      <c r="BG54" s="35">
        <f t="shared" ref="BG54:BP54" si="50">IF(BG53=2,1,0)</f>
        <v>1</v>
      </c>
      <c r="BH54" s="35">
        <f t="shared" si="50"/>
        <v>1</v>
      </c>
      <c r="BI54" s="35">
        <f t="shared" si="50"/>
        <v>1</v>
      </c>
      <c r="BJ54" s="35">
        <f t="shared" si="50"/>
        <v>1</v>
      </c>
      <c r="BK54" s="35">
        <f t="shared" si="50"/>
        <v>1</v>
      </c>
      <c r="BL54" s="35">
        <f t="shared" si="50"/>
        <v>1</v>
      </c>
      <c r="BM54" s="35">
        <f t="shared" si="50"/>
        <v>1</v>
      </c>
      <c r="BN54" s="35">
        <f t="shared" si="50"/>
        <v>1</v>
      </c>
      <c r="BO54" s="35">
        <f t="shared" si="50"/>
        <v>1</v>
      </c>
      <c r="BP54" s="35">
        <f t="shared" si="50"/>
        <v>1</v>
      </c>
      <c r="BQ54" s="35">
        <f t="shared" ref="BQ54" si="51">IF(BQ53=2,1,0)</f>
        <v>1</v>
      </c>
    </row>
    <row r="55" spans="1:69" x14ac:dyDescent="0.25">
      <c r="A55" t="s">
        <v>287</v>
      </c>
      <c r="B55" s="12">
        <v>32</v>
      </c>
      <c r="C55" s="12">
        <v>28</v>
      </c>
      <c r="D55" s="12">
        <v>22</v>
      </c>
      <c r="E55" s="12">
        <v>13</v>
      </c>
      <c r="F55" s="12">
        <v>58</v>
      </c>
      <c r="G55" s="12">
        <v>105</v>
      </c>
      <c r="H55" s="12">
        <v>183</v>
      </c>
      <c r="I55" s="12">
        <v>88</v>
      </c>
      <c r="J55" s="12">
        <v>14</v>
      </c>
      <c r="K55" s="12">
        <v>125</v>
      </c>
      <c r="L55" s="12">
        <v>15</v>
      </c>
      <c r="M55" s="12">
        <v>4</v>
      </c>
      <c r="N55" s="12">
        <v>27</v>
      </c>
      <c r="O55" s="12">
        <v>1</v>
      </c>
      <c r="P55" s="12">
        <v>10</v>
      </c>
      <c r="Q55" s="12">
        <v>58</v>
      </c>
      <c r="R55" s="12">
        <v>8</v>
      </c>
      <c r="S55" s="12">
        <v>29</v>
      </c>
      <c r="T55" s="12">
        <v>37</v>
      </c>
      <c r="U55" s="12">
        <v>13</v>
      </c>
      <c r="V55" s="12">
        <v>26</v>
      </c>
      <c r="W55" s="12">
        <v>129</v>
      </c>
      <c r="X55" s="12">
        <v>20</v>
      </c>
      <c r="Y55" s="12">
        <v>66</v>
      </c>
      <c r="Z55" s="12">
        <v>40</v>
      </c>
      <c r="AA55" s="12">
        <v>123</v>
      </c>
      <c r="AB55" s="12">
        <v>76</v>
      </c>
      <c r="AC55" s="12">
        <v>13</v>
      </c>
      <c r="AD55" s="12">
        <v>10</v>
      </c>
      <c r="AE55" s="12">
        <v>80</v>
      </c>
      <c r="AF55" s="12">
        <v>10</v>
      </c>
      <c r="AG55" s="12">
        <v>44</v>
      </c>
      <c r="AH55" s="12">
        <v>31</v>
      </c>
      <c r="AI55" s="12">
        <v>76</v>
      </c>
      <c r="AJ55" s="12">
        <v>43</v>
      </c>
      <c r="AK55" s="12">
        <v>21</v>
      </c>
      <c r="AL55" s="12">
        <v>30</v>
      </c>
      <c r="AM55" s="12">
        <v>21</v>
      </c>
      <c r="AN55" s="12">
        <v>9</v>
      </c>
      <c r="AO55" s="12">
        <v>3</v>
      </c>
      <c r="AP55" s="12">
        <v>8</v>
      </c>
      <c r="AQ55" s="12">
        <v>27</v>
      </c>
      <c r="AR55" s="12">
        <v>17</v>
      </c>
      <c r="AS55" s="12">
        <v>9</v>
      </c>
      <c r="AT55" s="12">
        <v>27</v>
      </c>
      <c r="AU55" s="12">
        <v>41</v>
      </c>
      <c r="AV55" s="12">
        <v>70</v>
      </c>
      <c r="AW55" s="12">
        <v>80</v>
      </c>
      <c r="AX55" s="12">
        <v>9</v>
      </c>
      <c r="AY55" s="12">
        <v>141</v>
      </c>
      <c r="AZ55" s="12">
        <v>17</v>
      </c>
      <c r="BA55" s="12">
        <v>23</v>
      </c>
      <c r="BB55" s="12">
        <v>42</v>
      </c>
      <c r="BC55" s="12">
        <v>57</v>
      </c>
      <c r="BD55" s="12">
        <v>17</v>
      </c>
      <c r="BE55" s="12">
        <v>54</v>
      </c>
      <c r="BF55" s="12">
        <v>10</v>
      </c>
      <c r="BG55" s="35"/>
      <c r="BH55" s="35"/>
      <c r="BI55" s="35"/>
      <c r="BJ55" s="35"/>
      <c r="BK55" s="35"/>
      <c r="BL55" s="35"/>
      <c r="BM55" s="35"/>
      <c r="BN55" s="35">
        <v>25</v>
      </c>
      <c r="BO55" s="35">
        <v>37</v>
      </c>
      <c r="BP55" s="38">
        <v>22</v>
      </c>
      <c r="BQ55" s="38">
        <v>13</v>
      </c>
    </row>
    <row r="56" spans="1:69" x14ac:dyDescent="0.25">
      <c r="A56" t="s">
        <v>288</v>
      </c>
      <c r="B56" s="12">
        <f t="shared" ref="B56:AG56" si="52">B11-B55</f>
        <v>5</v>
      </c>
      <c r="C56" s="12">
        <f t="shared" si="52"/>
        <v>517</v>
      </c>
      <c r="D56" s="12">
        <f t="shared" si="52"/>
        <v>14</v>
      </c>
      <c r="E56" s="12">
        <f t="shared" si="52"/>
        <v>660</v>
      </c>
      <c r="F56" s="12">
        <f t="shared" si="52"/>
        <v>221</v>
      </c>
      <c r="G56" s="12">
        <f t="shared" si="52"/>
        <v>-52</v>
      </c>
      <c r="H56" s="12">
        <f t="shared" si="52"/>
        <v>7</v>
      </c>
      <c r="I56" s="12">
        <f t="shared" si="52"/>
        <v>13</v>
      </c>
      <c r="J56" s="12">
        <f t="shared" si="52"/>
        <v>105</v>
      </c>
      <c r="K56" s="12">
        <f t="shared" si="52"/>
        <v>-20</v>
      </c>
      <c r="L56" s="12">
        <f t="shared" si="52"/>
        <v>32</v>
      </c>
      <c r="M56" s="12">
        <f t="shared" si="52"/>
        <v>325</v>
      </c>
      <c r="N56" s="12">
        <f t="shared" si="52"/>
        <v>3</v>
      </c>
      <c r="O56" s="12">
        <f t="shared" si="52"/>
        <v>80</v>
      </c>
      <c r="P56" s="12">
        <f t="shared" si="52"/>
        <v>86</v>
      </c>
      <c r="Q56" s="12">
        <f t="shared" si="52"/>
        <v>53</v>
      </c>
      <c r="R56" s="12">
        <f t="shared" si="52"/>
        <v>106</v>
      </c>
      <c r="S56" s="12">
        <f t="shared" si="52"/>
        <v>126</v>
      </c>
      <c r="T56" s="12">
        <f t="shared" si="52"/>
        <v>7</v>
      </c>
      <c r="U56" s="12">
        <f t="shared" si="52"/>
        <v>303</v>
      </c>
      <c r="V56" s="12">
        <f t="shared" si="52"/>
        <v>21</v>
      </c>
      <c r="W56" s="12">
        <f t="shared" si="52"/>
        <v>274</v>
      </c>
      <c r="X56" s="12">
        <f t="shared" si="52"/>
        <v>48</v>
      </c>
      <c r="Y56" s="12">
        <f t="shared" si="52"/>
        <v>102</v>
      </c>
      <c r="Z56" s="12">
        <f t="shared" si="52"/>
        <v>0</v>
      </c>
      <c r="AA56" s="12">
        <f t="shared" si="52"/>
        <v>-13</v>
      </c>
      <c r="AB56" s="12">
        <f t="shared" si="52"/>
        <v>-65</v>
      </c>
      <c r="AC56" s="12">
        <f t="shared" si="52"/>
        <v>39</v>
      </c>
      <c r="AD56" s="12">
        <f t="shared" si="52"/>
        <v>161</v>
      </c>
      <c r="AE56" s="12">
        <f t="shared" si="52"/>
        <v>-63</v>
      </c>
      <c r="AF56" s="12">
        <f t="shared" si="52"/>
        <v>172</v>
      </c>
      <c r="AG56" s="12">
        <f t="shared" si="52"/>
        <v>63</v>
      </c>
      <c r="AH56" s="12">
        <f t="shared" ref="AH56:BF56" si="53">AH11-AH55</f>
        <v>61</v>
      </c>
      <c r="AI56" s="12">
        <f t="shared" si="53"/>
        <v>55</v>
      </c>
      <c r="AJ56" s="12">
        <f t="shared" si="53"/>
        <v>20</v>
      </c>
      <c r="AK56" s="12">
        <f t="shared" si="53"/>
        <v>212</v>
      </c>
      <c r="AL56" s="12">
        <f t="shared" si="53"/>
        <v>127</v>
      </c>
      <c r="AM56" s="12">
        <f t="shared" si="53"/>
        <v>3</v>
      </c>
      <c r="AN56" s="12">
        <f t="shared" si="53"/>
        <v>54</v>
      </c>
      <c r="AO56" s="12">
        <f t="shared" si="53"/>
        <v>0</v>
      </c>
      <c r="AP56" s="12">
        <f t="shared" si="53"/>
        <v>45</v>
      </c>
      <c r="AQ56" s="12">
        <f t="shared" si="53"/>
        <v>23</v>
      </c>
      <c r="AR56" s="12">
        <f t="shared" si="53"/>
        <v>77</v>
      </c>
      <c r="AS56" s="12">
        <f t="shared" si="53"/>
        <v>304</v>
      </c>
      <c r="AT56" s="12">
        <f t="shared" si="53"/>
        <v>97</v>
      </c>
      <c r="AU56" s="12">
        <f t="shared" si="53"/>
        <v>-5</v>
      </c>
      <c r="AV56" s="12">
        <f t="shared" si="53"/>
        <v>88</v>
      </c>
      <c r="AW56" s="12">
        <f t="shared" si="53"/>
        <v>94</v>
      </c>
      <c r="AX56" s="12">
        <f t="shared" si="53"/>
        <v>-7</v>
      </c>
      <c r="AY56" s="12">
        <f t="shared" si="53"/>
        <v>-128</v>
      </c>
      <c r="AZ56" s="12">
        <f t="shared" si="53"/>
        <v>7</v>
      </c>
      <c r="BA56" s="12">
        <f t="shared" si="53"/>
        <v>165</v>
      </c>
      <c r="BB56" s="12">
        <f t="shared" si="53"/>
        <v>-11</v>
      </c>
      <c r="BC56" s="12">
        <f t="shared" si="53"/>
        <v>-56</v>
      </c>
      <c r="BD56" s="12">
        <f t="shared" si="53"/>
        <v>14</v>
      </c>
      <c r="BE56" s="12">
        <f t="shared" si="53"/>
        <v>-22</v>
      </c>
      <c r="BF56" s="12">
        <f t="shared" si="53"/>
        <v>80</v>
      </c>
      <c r="BG56" s="35">
        <f t="shared" ref="BG56:BQ56" si="54">BG11-BG55</f>
        <v>0</v>
      </c>
      <c r="BH56" s="35">
        <f t="shared" si="54"/>
        <v>0</v>
      </c>
      <c r="BI56" s="35">
        <f t="shared" si="54"/>
        <v>0</v>
      </c>
      <c r="BJ56" s="35">
        <f t="shared" si="54"/>
        <v>0</v>
      </c>
      <c r="BK56" s="35">
        <f t="shared" si="54"/>
        <v>0</v>
      </c>
      <c r="BL56" s="35">
        <f t="shared" si="54"/>
        <v>0</v>
      </c>
      <c r="BM56" s="35">
        <f t="shared" si="54"/>
        <v>0</v>
      </c>
      <c r="BN56" s="35">
        <f t="shared" si="54"/>
        <v>33</v>
      </c>
      <c r="BO56" s="35">
        <f t="shared" si="54"/>
        <v>68</v>
      </c>
      <c r="BP56" s="35">
        <f t="shared" si="54"/>
        <v>60</v>
      </c>
      <c r="BQ56" s="35">
        <f t="shared" si="54"/>
        <v>102</v>
      </c>
    </row>
    <row r="57" spans="1:69" x14ac:dyDescent="0.25">
      <c r="A57" t="s">
        <v>295</v>
      </c>
      <c r="U57" s="12"/>
      <c r="V57" s="12"/>
      <c r="W57" s="12"/>
      <c r="X57" s="12"/>
      <c r="Y57" s="12"/>
      <c r="Z57" s="12"/>
      <c r="AA57" s="12"/>
      <c r="BG57" s="35"/>
      <c r="BH57" s="35"/>
      <c r="BI57" s="35"/>
      <c r="BJ57" s="35"/>
      <c r="BK57" s="35"/>
      <c r="BL57" s="35"/>
      <c r="BM57" s="35"/>
      <c r="BN57" s="35"/>
      <c r="BO57" s="35"/>
      <c r="BP57" s="38"/>
      <c r="BQ57" s="38"/>
    </row>
    <row r="58" spans="1:69" x14ac:dyDescent="0.25">
      <c r="A58" t="s">
        <v>296</v>
      </c>
      <c r="B58" s="12">
        <v>2</v>
      </c>
      <c r="C58" s="12">
        <v>2</v>
      </c>
      <c r="D58" s="12">
        <v>3</v>
      </c>
      <c r="E58" s="12">
        <v>0</v>
      </c>
      <c r="F58" s="12">
        <v>2</v>
      </c>
      <c r="G58" s="12">
        <v>2</v>
      </c>
      <c r="H58" s="12">
        <v>3</v>
      </c>
      <c r="I58" s="12">
        <v>0</v>
      </c>
      <c r="J58" s="12">
        <v>0</v>
      </c>
      <c r="K58" s="12">
        <v>2</v>
      </c>
      <c r="L58" s="12">
        <v>1</v>
      </c>
      <c r="M58" s="12">
        <v>2</v>
      </c>
      <c r="N58" s="12">
        <v>2</v>
      </c>
      <c r="O58" s="18">
        <v>0</v>
      </c>
      <c r="P58" s="12">
        <v>2</v>
      </c>
      <c r="Q58" s="12">
        <v>3</v>
      </c>
      <c r="R58" s="12">
        <v>2</v>
      </c>
      <c r="S58" s="12">
        <v>3</v>
      </c>
      <c r="T58" s="12">
        <v>2</v>
      </c>
      <c r="U58" s="12">
        <v>1</v>
      </c>
      <c r="V58" s="12">
        <v>2</v>
      </c>
      <c r="W58" s="12">
        <v>2</v>
      </c>
      <c r="X58" s="12">
        <v>2</v>
      </c>
      <c r="Y58" s="12">
        <v>0</v>
      </c>
      <c r="Z58" s="12">
        <v>3</v>
      </c>
      <c r="AA58" s="12">
        <v>2</v>
      </c>
      <c r="AB58" s="12">
        <v>3</v>
      </c>
      <c r="AC58" s="12">
        <v>3</v>
      </c>
      <c r="AD58" s="12">
        <v>3</v>
      </c>
      <c r="AE58" s="12">
        <v>1</v>
      </c>
      <c r="AF58" s="12">
        <v>3</v>
      </c>
      <c r="AG58" s="12">
        <v>0</v>
      </c>
      <c r="AH58" s="12">
        <v>2</v>
      </c>
      <c r="AI58" s="12">
        <v>0</v>
      </c>
      <c r="AJ58" s="12">
        <v>2</v>
      </c>
      <c r="AK58" s="12">
        <v>0</v>
      </c>
      <c r="AL58" s="12">
        <v>2</v>
      </c>
      <c r="AM58" s="12">
        <v>2</v>
      </c>
      <c r="AN58" s="12">
        <v>2</v>
      </c>
      <c r="AO58" s="12">
        <v>2</v>
      </c>
      <c r="AP58" s="12">
        <v>0</v>
      </c>
      <c r="AQ58" s="12">
        <v>2</v>
      </c>
      <c r="AR58" s="12">
        <v>2</v>
      </c>
      <c r="AS58" s="12">
        <v>0</v>
      </c>
      <c r="AT58" s="12">
        <v>2</v>
      </c>
      <c r="AU58" s="12">
        <v>3</v>
      </c>
      <c r="AV58" s="12">
        <v>3</v>
      </c>
      <c r="AW58" s="12">
        <v>0</v>
      </c>
      <c r="AX58" s="12">
        <v>1</v>
      </c>
      <c r="AY58" s="12">
        <v>2</v>
      </c>
      <c r="AZ58" s="12">
        <v>3</v>
      </c>
      <c r="BA58" s="12">
        <v>2</v>
      </c>
      <c r="BB58" s="12">
        <v>1</v>
      </c>
      <c r="BC58" s="12">
        <v>2</v>
      </c>
      <c r="BD58" s="12">
        <v>2</v>
      </c>
      <c r="BE58" s="12">
        <v>2</v>
      </c>
      <c r="BF58" s="12">
        <v>0</v>
      </c>
      <c r="BG58" s="35">
        <v>2</v>
      </c>
      <c r="BH58" s="35">
        <v>0</v>
      </c>
      <c r="BI58" s="35">
        <v>2</v>
      </c>
      <c r="BJ58" s="35">
        <v>2</v>
      </c>
      <c r="BK58" s="35">
        <v>0</v>
      </c>
      <c r="BL58" s="35">
        <v>2</v>
      </c>
      <c r="BM58" s="35">
        <v>2</v>
      </c>
      <c r="BN58" s="35">
        <v>0</v>
      </c>
      <c r="BO58" s="35">
        <v>2</v>
      </c>
      <c r="BP58" s="38">
        <v>3</v>
      </c>
      <c r="BQ58" s="38">
        <v>2</v>
      </c>
    </row>
    <row r="59" spans="1:69" x14ac:dyDescent="0.25">
      <c r="A59" t="s">
        <v>297</v>
      </c>
      <c r="B59" s="12">
        <f>IF(B58=2,1,0)</f>
        <v>1</v>
      </c>
      <c r="C59" s="12">
        <f t="shared" ref="C59:AB59" si="55">IF(C58=2,1,0)</f>
        <v>1</v>
      </c>
      <c r="D59" s="12">
        <f t="shared" si="55"/>
        <v>0</v>
      </c>
      <c r="E59" s="12">
        <f t="shared" si="55"/>
        <v>0</v>
      </c>
      <c r="F59" s="12">
        <f t="shared" si="55"/>
        <v>1</v>
      </c>
      <c r="G59" s="12">
        <f t="shared" si="55"/>
        <v>1</v>
      </c>
      <c r="H59" s="12">
        <f t="shared" si="55"/>
        <v>0</v>
      </c>
      <c r="I59" s="12">
        <f t="shared" si="55"/>
        <v>0</v>
      </c>
      <c r="J59" s="12">
        <f t="shared" si="55"/>
        <v>0</v>
      </c>
      <c r="K59" s="12">
        <f t="shared" si="55"/>
        <v>1</v>
      </c>
      <c r="L59" s="12">
        <f t="shared" si="55"/>
        <v>0</v>
      </c>
      <c r="M59" s="12">
        <f t="shared" si="55"/>
        <v>1</v>
      </c>
      <c r="N59" s="12">
        <f t="shared" si="55"/>
        <v>1</v>
      </c>
      <c r="O59" s="12">
        <f t="shared" si="55"/>
        <v>0</v>
      </c>
      <c r="P59" s="12">
        <f t="shared" si="55"/>
        <v>1</v>
      </c>
      <c r="Q59" s="12">
        <f t="shared" si="55"/>
        <v>0</v>
      </c>
      <c r="R59" s="12">
        <f t="shared" si="55"/>
        <v>1</v>
      </c>
      <c r="S59" s="12">
        <f t="shared" si="55"/>
        <v>0</v>
      </c>
      <c r="T59" s="12">
        <f t="shared" si="55"/>
        <v>1</v>
      </c>
      <c r="U59" s="12">
        <f t="shared" si="55"/>
        <v>0</v>
      </c>
      <c r="V59" s="12">
        <f t="shared" si="55"/>
        <v>1</v>
      </c>
      <c r="W59" s="12">
        <f t="shared" si="55"/>
        <v>1</v>
      </c>
      <c r="X59" s="12">
        <f t="shared" si="55"/>
        <v>1</v>
      </c>
      <c r="Y59" s="12">
        <f t="shared" si="55"/>
        <v>0</v>
      </c>
      <c r="Z59" s="12">
        <f t="shared" si="55"/>
        <v>0</v>
      </c>
      <c r="AA59" s="12">
        <f t="shared" si="55"/>
        <v>1</v>
      </c>
      <c r="AB59" s="12">
        <f t="shared" si="55"/>
        <v>0</v>
      </c>
      <c r="AC59" s="12">
        <f>IF(AC58=2,1,0)</f>
        <v>0</v>
      </c>
      <c r="AD59" s="12">
        <f t="shared" ref="AD59:BF59" si="56">IF(AD58=2,1,0)</f>
        <v>0</v>
      </c>
      <c r="AE59" s="12">
        <f t="shared" si="56"/>
        <v>0</v>
      </c>
      <c r="AF59" s="12">
        <f t="shared" si="56"/>
        <v>0</v>
      </c>
      <c r="AG59" s="12">
        <f t="shared" si="56"/>
        <v>0</v>
      </c>
      <c r="AH59" s="12">
        <f t="shared" si="56"/>
        <v>1</v>
      </c>
      <c r="AI59" s="12">
        <f t="shared" si="56"/>
        <v>0</v>
      </c>
      <c r="AJ59" s="12">
        <f t="shared" si="56"/>
        <v>1</v>
      </c>
      <c r="AK59" s="12">
        <f t="shared" si="56"/>
        <v>0</v>
      </c>
      <c r="AL59" s="12">
        <f t="shared" si="56"/>
        <v>1</v>
      </c>
      <c r="AM59" s="12">
        <f t="shared" si="56"/>
        <v>1</v>
      </c>
      <c r="AN59" s="12">
        <f t="shared" si="56"/>
        <v>1</v>
      </c>
      <c r="AO59" s="12">
        <f t="shared" si="56"/>
        <v>1</v>
      </c>
      <c r="AP59" s="12">
        <f t="shared" si="56"/>
        <v>0</v>
      </c>
      <c r="AQ59" s="12">
        <f t="shared" si="56"/>
        <v>1</v>
      </c>
      <c r="AR59" s="12">
        <f t="shared" si="56"/>
        <v>1</v>
      </c>
      <c r="AS59" s="12">
        <f t="shared" si="56"/>
        <v>0</v>
      </c>
      <c r="AT59" s="12">
        <f t="shared" si="56"/>
        <v>1</v>
      </c>
      <c r="AU59" s="12">
        <f t="shared" si="56"/>
        <v>0</v>
      </c>
      <c r="AV59" s="12">
        <f t="shared" si="56"/>
        <v>0</v>
      </c>
      <c r="AW59" s="12">
        <f t="shared" si="56"/>
        <v>0</v>
      </c>
      <c r="AX59" s="12">
        <f t="shared" si="56"/>
        <v>0</v>
      </c>
      <c r="AY59" s="12">
        <f t="shared" si="56"/>
        <v>1</v>
      </c>
      <c r="AZ59" s="12">
        <f t="shared" si="56"/>
        <v>0</v>
      </c>
      <c r="BA59" s="12">
        <f t="shared" si="56"/>
        <v>1</v>
      </c>
      <c r="BB59" s="12">
        <f t="shared" si="56"/>
        <v>0</v>
      </c>
      <c r="BC59" s="12">
        <f t="shared" si="56"/>
        <v>1</v>
      </c>
      <c r="BD59" s="12">
        <f t="shared" si="56"/>
        <v>1</v>
      </c>
      <c r="BE59" s="12">
        <f t="shared" si="56"/>
        <v>1</v>
      </c>
      <c r="BF59" s="12">
        <f t="shared" si="56"/>
        <v>0</v>
      </c>
      <c r="BG59" s="35">
        <f t="shared" ref="BG59:BP59" si="57">IF(BG58=2,1,0)</f>
        <v>1</v>
      </c>
      <c r="BH59" s="35">
        <f t="shared" si="57"/>
        <v>0</v>
      </c>
      <c r="BI59" s="35">
        <f t="shared" si="57"/>
        <v>1</v>
      </c>
      <c r="BJ59" s="35">
        <f t="shared" si="57"/>
        <v>1</v>
      </c>
      <c r="BK59" s="35">
        <f t="shared" si="57"/>
        <v>0</v>
      </c>
      <c r="BL59" s="35">
        <f t="shared" si="57"/>
        <v>1</v>
      </c>
      <c r="BM59" s="35">
        <f t="shared" si="57"/>
        <v>1</v>
      </c>
      <c r="BN59" s="35">
        <f t="shared" si="57"/>
        <v>0</v>
      </c>
      <c r="BO59" s="35">
        <f t="shared" si="57"/>
        <v>1</v>
      </c>
      <c r="BP59" s="35">
        <f t="shared" si="57"/>
        <v>0</v>
      </c>
      <c r="BQ59" s="35">
        <f t="shared" ref="BQ59" si="58">IF(BQ58=2,1,0)</f>
        <v>1</v>
      </c>
    </row>
    <row r="60" spans="1:69" x14ac:dyDescent="0.25">
      <c r="A60" t="s">
        <v>298</v>
      </c>
      <c r="B60" s="12">
        <v>154</v>
      </c>
      <c r="C60" s="12">
        <v>94</v>
      </c>
      <c r="D60" s="12">
        <v>127</v>
      </c>
      <c r="E60" s="12">
        <v>268</v>
      </c>
      <c r="F60" s="12">
        <v>314</v>
      </c>
      <c r="G60" s="12">
        <v>202</v>
      </c>
      <c r="H60" s="12">
        <v>109</v>
      </c>
      <c r="I60" s="12">
        <v>295</v>
      </c>
      <c r="J60" s="12">
        <v>958</v>
      </c>
      <c r="K60" s="12">
        <v>288</v>
      </c>
      <c r="L60" s="12">
        <v>25</v>
      </c>
      <c r="M60" s="12">
        <v>118</v>
      </c>
      <c r="N60" s="12">
        <v>232</v>
      </c>
      <c r="O60" s="12">
        <v>1</v>
      </c>
      <c r="P60" s="12">
        <v>92</v>
      </c>
      <c r="Q60" s="12">
        <v>22</v>
      </c>
      <c r="R60" s="12">
        <v>117</v>
      </c>
      <c r="S60" s="12">
        <v>228</v>
      </c>
      <c r="T60" s="12">
        <v>251</v>
      </c>
      <c r="U60" s="12">
        <v>215</v>
      </c>
      <c r="V60" s="12">
        <v>77</v>
      </c>
      <c r="W60" s="12">
        <v>308</v>
      </c>
      <c r="X60" s="12">
        <v>14</v>
      </c>
      <c r="Y60" s="12">
        <v>305</v>
      </c>
      <c r="Z60" s="12">
        <v>42</v>
      </c>
      <c r="AA60" s="12">
        <v>286</v>
      </c>
      <c r="AB60" s="12">
        <v>20</v>
      </c>
      <c r="AC60" s="12">
        <v>32</v>
      </c>
      <c r="AD60" s="12">
        <v>10</v>
      </c>
      <c r="AE60" s="12">
        <v>3</v>
      </c>
      <c r="AF60" s="12">
        <v>854</v>
      </c>
      <c r="AG60" s="12">
        <v>148</v>
      </c>
      <c r="AH60" s="12">
        <v>350</v>
      </c>
      <c r="AI60" s="12">
        <v>337</v>
      </c>
      <c r="AJ60" s="12">
        <v>141</v>
      </c>
      <c r="AK60" s="12">
        <v>93</v>
      </c>
      <c r="AL60" s="12">
        <v>81</v>
      </c>
      <c r="AM60" s="12">
        <v>63</v>
      </c>
      <c r="AN60" s="12">
        <v>130</v>
      </c>
      <c r="AO60" s="12">
        <v>2</v>
      </c>
      <c r="AP60" s="12">
        <v>92</v>
      </c>
      <c r="AQ60" s="12">
        <v>109</v>
      </c>
      <c r="AR60" s="12">
        <v>87</v>
      </c>
      <c r="AS60" s="12">
        <v>64</v>
      </c>
      <c r="AT60" s="12">
        <v>56</v>
      </c>
      <c r="AU60" s="12">
        <v>18</v>
      </c>
      <c r="AV60" s="12">
        <v>25</v>
      </c>
      <c r="AW60" s="12">
        <v>25</v>
      </c>
      <c r="AX60" s="12">
        <v>231</v>
      </c>
      <c r="AY60" s="12">
        <v>203</v>
      </c>
      <c r="AZ60" s="12">
        <v>30</v>
      </c>
      <c r="BA60" s="12">
        <v>219</v>
      </c>
      <c r="BB60" s="12">
        <v>19</v>
      </c>
      <c r="BC60" s="12">
        <v>81</v>
      </c>
      <c r="BD60" s="12">
        <v>58</v>
      </c>
      <c r="BE60" s="12">
        <v>184</v>
      </c>
      <c r="BF60" s="12">
        <v>94</v>
      </c>
      <c r="BG60" s="35"/>
      <c r="BH60" s="35"/>
      <c r="BI60" s="35"/>
      <c r="BJ60" s="35"/>
      <c r="BK60" s="35"/>
      <c r="BL60" s="35"/>
      <c r="BM60" s="35"/>
      <c r="BN60" s="35">
        <v>115</v>
      </c>
      <c r="BO60" s="35">
        <v>234</v>
      </c>
      <c r="BP60" s="38">
        <v>79</v>
      </c>
      <c r="BQ60" s="38">
        <v>353</v>
      </c>
    </row>
    <row r="61" spans="1:69" x14ac:dyDescent="0.25">
      <c r="A61" t="s">
        <v>299</v>
      </c>
      <c r="B61" s="12">
        <f>B18+B21+B24+B27+B30+B33+B36+B39+B42+B45+B48+B51+B54+B59</f>
        <v>14</v>
      </c>
      <c r="C61" s="12">
        <f t="shared" ref="C61:AB61" si="59">C18+C21+C24+C27+C30+C33+C36+C39+C42+C45+C48+C51+C54+C59</f>
        <v>11</v>
      </c>
      <c r="D61" s="12">
        <f t="shared" si="59"/>
        <v>12</v>
      </c>
      <c r="E61" s="12">
        <f t="shared" si="59"/>
        <v>7</v>
      </c>
      <c r="F61" s="12">
        <f t="shared" si="59"/>
        <v>11</v>
      </c>
      <c r="G61" s="12">
        <f t="shared" si="59"/>
        <v>11</v>
      </c>
      <c r="H61" s="12">
        <f t="shared" si="59"/>
        <v>10</v>
      </c>
      <c r="I61" s="12">
        <f t="shared" si="59"/>
        <v>7</v>
      </c>
      <c r="J61" s="12">
        <f t="shared" si="59"/>
        <v>9</v>
      </c>
      <c r="K61" s="12">
        <f t="shared" si="59"/>
        <v>11</v>
      </c>
      <c r="L61" s="12">
        <f t="shared" si="59"/>
        <v>10</v>
      </c>
      <c r="M61" s="12">
        <f t="shared" si="59"/>
        <v>14</v>
      </c>
      <c r="N61" s="12">
        <f t="shared" si="59"/>
        <v>13</v>
      </c>
      <c r="O61" s="12">
        <f t="shared" si="59"/>
        <v>3</v>
      </c>
      <c r="P61" s="12">
        <f t="shared" si="59"/>
        <v>10</v>
      </c>
      <c r="Q61" s="12">
        <f t="shared" si="59"/>
        <v>8</v>
      </c>
      <c r="R61" s="12">
        <f t="shared" si="59"/>
        <v>8</v>
      </c>
      <c r="S61" s="12">
        <f t="shared" si="59"/>
        <v>8</v>
      </c>
      <c r="T61" s="12">
        <f t="shared" si="59"/>
        <v>12</v>
      </c>
      <c r="U61" s="12">
        <f t="shared" si="59"/>
        <v>11</v>
      </c>
      <c r="V61" s="12">
        <f t="shared" si="59"/>
        <v>13</v>
      </c>
      <c r="W61" s="12">
        <f t="shared" si="59"/>
        <v>14</v>
      </c>
      <c r="X61" s="12">
        <f t="shared" si="59"/>
        <v>4</v>
      </c>
      <c r="Y61" s="12">
        <f t="shared" si="59"/>
        <v>11</v>
      </c>
      <c r="Z61" s="12">
        <f t="shared" si="59"/>
        <v>8</v>
      </c>
      <c r="AA61" s="12">
        <f t="shared" si="59"/>
        <v>9</v>
      </c>
      <c r="AB61" s="12">
        <f t="shared" si="59"/>
        <v>2</v>
      </c>
      <c r="AC61" s="12">
        <f>AC18+AC21+AC24+AC27+AC30+AC33+AC36+AC39+AC42+AC45+AC48+AC51+AC54+AC59</f>
        <v>6</v>
      </c>
      <c r="AD61" s="12">
        <f t="shared" ref="AD61:BF62" si="60">AD18+AD21+AD24+AD27+AD30+AD33+AD36+AD39+AD42+AD45+AD48+AD51+AD54+AD59</f>
        <v>8</v>
      </c>
      <c r="AE61" s="12">
        <f t="shared" si="60"/>
        <v>7</v>
      </c>
      <c r="AF61" s="12">
        <f t="shared" si="60"/>
        <v>5</v>
      </c>
      <c r="AG61" s="12">
        <f t="shared" si="60"/>
        <v>12</v>
      </c>
      <c r="AH61" s="12">
        <f t="shared" si="60"/>
        <v>11</v>
      </c>
      <c r="AI61" s="12">
        <f t="shared" si="60"/>
        <v>10</v>
      </c>
      <c r="AJ61" s="12">
        <f t="shared" si="60"/>
        <v>8</v>
      </c>
      <c r="AK61" s="12">
        <f t="shared" si="60"/>
        <v>12</v>
      </c>
      <c r="AL61" s="12">
        <f t="shared" si="60"/>
        <v>14</v>
      </c>
      <c r="AM61" s="12">
        <f t="shared" si="60"/>
        <v>12</v>
      </c>
      <c r="AN61" s="12">
        <f t="shared" si="60"/>
        <v>11</v>
      </c>
      <c r="AO61" s="12">
        <f t="shared" si="60"/>
        <v>14</v>
      </c>
      <c r="AP61" s="12">
        <f t="shared" si="60"/>
        <v>5</v>
      </c>
      <c r="AQ61" s="12">
        <f t="shared" si="60"/>
        <v>12</v>
      </c>
      <c r="AR61" s="12">
        <f t="shared" si="60"/>
        <v>10</v>
      </c>
      <c r="AS61" s="12">
        <f t="shared" si="60"/>
        <v>9</v>
      </c>
      <c r="AT61" s="12">
        <f t="shared" si="60"/>
        <v>14</v>
      </c>
      <c r="AU61" s="12">
        <f t="shared" si="60"/>
        <v>11</v>
      </c>
      <c r="AV61" s="12">
        <f t="shared" si="60"/>
        <v>7</v>
      </c>
      <c r="AW61" s="12">
        <f t="shared" si="60"/>
        <v>8</v>
      </c>
      <c r="AX61" s="12">
        <f t="shared" si="60"/>
        <v>8</v>
      </c>
      <c r="AY61" s="12">
        <f t="shared" si="60"/>
        <v>12</v>
      </c>
      <c r="AZ61" s="12">
        <f t="shared" si="60"/>
        <v>8</v>
      </c>
      <c r="BA61" s="12">
        <f t="shared" si="60"/>
        <v>11</v>
      </c>
      <c r="BB61" s="12">
        <f t="shared" si="60"/>
        <v>7</v>
      </c>
      <c r="BC61" s="12">
        <f t="shared" si="60"/>
        <v>7</v>
      </c>
      <c r="BD61" s="12">
        <f t="shared" si="60"/>
        <v>13</v>
      </c>
      <c r="BE61" s="12">
        <f t="shared" si="60"/>
        <v>9</v>
      </c>
      <c r="BF61" s="12">
        <f t="shared" si="60"/>
        <v>10</v>
      </c>
      <c r="BG61" s="35">
        <f t="shared" ref="BG61:BP62" si="61">BG18+BG21+BG24+BG27+BG30+BG33+BG36+BG39+BG42+BG45+BG48+BG51+BG54+BG59</f>
        <v>11</v>
      </c>
      <c r="BH61" s="35">
        <f t="shared" si="61"/>
        <v>11</v>
      </c>
      <c r="BI61" s="35">
        <f t="shared" si="61"/>
        <v>11</v>
      </c>
      <c r="BJ61" s="35">
        <f t="shared" si="61"/>
        <v>13</v>
      </c>
      <c r="BK61" s="35">
        <f t="shared" si="61"/>
        <v>8</v>
      </c>
      <c r="BL61" s="35">
        <f t="shared" si="61"/>
        <v>10</v>
      </c>
      <c r="BM61" s="35">
        <f t="shared" si="61"/>
        <v>10</v>
      </c>
      <c r="BN61" s="35">
        <f t="shared" si="61"/>
        <v>12</v>
      </c>
      <c r="BO61" s="35">
        <f t="shared" si="61"/>
        <v>12</v>
      </c>
      <c r="BP61" s="35">
        <f t="shared" si="61"/>
        <v>11</v>
      </c>
      <c r="BQ61" s="35">
        <f t="shared" ref="BQ61" si="62">BQ18+BQ21+BQ24+BQ27+BQ30+BQ33+BQ36+BQ39+BQ42+BQ45+BQ48+BQ51+BQ54+BQ59</f>
        <v>12</v>
      </c>
    </row>
    <row r="62" spans="1:69" x14ac:dyDescent="0.25">
      <c r="A62" t="s">
        <v>300</v>
      </c>
      <c r="B62" s="12">
        <f>B19+B22+B25+B28+B31+B34+B37+B37+B40+B43+B46+B49+B55+B60</f>
        <v>490</v>
      </c>
      <c r="C62" s="12">
        <f t="shared" ref="C62:AB62" si="63">C19+C22+C25+C28+C31+C34+C37+C37+C40+C43+C46+C49+C55+C60</f>
        <v>402</v>
      </c>
      <c r="D62" s="12">
        <f t="shared" si="63"/>
        <v>349</v>
      </c>
      <c r="E62" s="12">
        <f t="shared" si="63"/>
        <v>1143</v>
      </c>
      <c r="F62" s="12">
        <f t="shared" si="63"/>
        <v>988</v>
      </c>
      <c r="G62" s="12">
        <f t="shared" si="63"/>
        <v>647</v>
      </c>
      <c r="H62" s="12">
        <f t="shared" si="63"/>
        <v>1245</v>
      </c>
      <c r="I62" s="12">
        <f t="shared" si="63"/>
        <v>1225</v>
      </c>
      <c r="J62" s="12">
        <f t="shared" si="63"/>
        <v>1890</v>
      </c>
      <c r="K62" s="12">
        <f t="shared" si="63"/>
        <v>1487</v>
      </c>
      <c r="L62" s="12">
        <f t="shared" si="63"/>
        <v>317</v>
      </c>
      <c r="M62" s="12">
        <f t="shared" si="63"/>
        <v>438</v>
      </c>
      <c r="N62" s="12">
        <f t="shared" si="63"/>
        <v>465</v>
      </c>
      <c r="O62" s="12">
        <f t="shared" si="63"/>
        <v>197</v>
      </c>
      <c r="P62" s="12">
        <f t="shared" si="63"/>
        <v>423</v>
      </c>
      <c r="Q62" s="12">
        <f t="shared" si="63"/>
        <v>432</v>
      </c>
      <c r="R62" s="12">
        <f t="shared" si="63"/>
        <v>585</v>
      </c>
      <c r="S62" s="12">
        <f t="shared" si="63"/>
        <v>585</v>
      </c>
      <c r="T62" s="12">
        <f t="shared" si="63"/>
        <v>686</v>
      </c>
      <c r="U62" s="12">
        <f t="shared" si="63"/>
        <v>765</v>
      </c>
      <c r="V62" s="12">
        <f t="shared" si="63"/>
        <v>444</v>
      </c>
      <c r="W62" s="12">
        <f t="shared" si="63"/>
        <v>1141</v>
      </c>
      <c r="X62" s="12">
        <f t="shared" si="63"/>
        <v>457</v>
      </c>
      <c r="Y62" s="12">
        <f t="shared" si="63"/>
        <v>749</v>
      </c>
      <c r="Z62" s="12">
        <f t="shared" si="63"/>
        <v>358</v>
      </c>
      <c r="AA62" s="12">
        <f t="shared" si="63"/>
        <v>907</v>
      </c>
      <c r="AB62" s="12">
        <f t="shared" si="63"/>
        <v>347</v>
      </c>
      <c r="AC62" s="12">
        <f>AC19+AC22+AC25+AC28+AC31+AC34+AC37+AC40+AC43+AC46+AC49+AC52+AC55+AC60</f>
        <v>535</v>
      </c>
      <c r="AD62" s="12">
        <f t="shared" si="60"/>
        <v>169</v>
      </c>
      <c r="AE62" s="12">
        <f t="shared" si="60"/>
        <v>165</v>
      </c>
      <c r="AF62" s="12">
        <f t="shared" si="60"/>
        <v>1926</v>
      </c>
      <c r="AG62" s="12">
        <f t="shared" si="60"/>
        <v>519</v>
      </c>
      <c r="AH62" s="12">
        <f t="shared" si="60"/>
        <v>935</v>
      </c>
      <c r="AI62" s="12">
        <f t="shared" si="60"/>
        <v>1610</v>
      </c>
      <c r="AJ62" s="12">
        <f t="shared" si="60"/>
        <v>461</v>
      </c>
      <c r="AK62" s="12">
        <f t="shared" si="60"/>
        <v>440</v>
      </c>
      <c r="AL62" s="12">
        <f t="shared" si="60"/>
        <v>365</v>
      </c>
      <c r="AM62" s="12">
        <f t="shared" si="60"/>
        <v>446</v>
      </c>
      <c r="AN62" s="12">
        <f t="shared" si="60"/>
        <v>427</v>
      </c>
      <c r="AO62" s="12">
        <f t="shared" si="60"/>
        <v>345</v>
      </c>
      <c r="AP62" s="12">
        <f t="shared" si="60"/>
        <v>249</v>
      </c>
      <c r="AQ62" s="12">
        <f t="shared" si="60"/>
        <v>396</v>
      </c>
      <c r="AR62" s="12">
        <f t="shared" si="60"/>
        <v>285</v>
      </c>
      <c r="AS62" s="12">
        <f t="shared" si="60"/>
        <v>867</v>
      </c>
      <c r="AT62" s="12">
        <f t="shared" si="60"/>
        <v>271</v>
      </c>
      <c r="AU62" s="12">
        <f t="shared" si="60"/>
        <v>280</v>
      </c>
      <c r="AV62" s="12">
        <f t="shared" si="60"/>
        <v>433</v>
      </c>
      <c r="AW62" s="12">
        <f t="shared" si="60"/>
        <v>400</v>
      </c>
      <c r="AX62" s="12">
        <f t="shared" si="60"/>
        <v>789</v>
      </c>
      <c r="AY62" s="12">
        <f t="shared" si="60"/>
        <v>843</v>
      </c>
      <c r="AZ62" s="12">
        <f t="shared" si="60"/>
        <v>358</v>
      </c>
      <c r="BA62" s="12">
        <f t="shared" si="60"/>
        <v>865</v>
      </c>
      <c r="BB62" s="12">
        <f t="shared" si="60"/>
        <v>380</v>
      </c>
      <c r="BC62" s="12">
        <f t="shared" si="60"/>
        <v>465</v>
      </c>
      <c r="BD62" s="12">
        <f t="shared" si="60"/>
        <v>233</v>
      </c>
      <c r="BE62" s="12">
        <f t="shared" si="60"/>
        <v>742</v>
      </c>
      <c r="BF62" s="12">
        <f t="shared" si="60"/>
        <v>231</v>
      </c>
      <c r="BG62" s="35">
        <f t="shared" si="61"/>
        <v>0</v>
      </c>
      <c r="BH62" s="35">
        <f t="shared" si="61"/>
        <v>0</v>
      </c>
      <c r="BI62" s="35">
        <f t="shared" si="61"/>
        <v>0</v>
      </c>
      <c r="BJ62" s="35">
        <f t="shared" si="61"/>
        <v>0</v>
      </c>
      <c r="BK62" s="35">
        <f t="shared" si="61"/>
        <v>0</v>
      </c>
      <c r="BL62" s="35">
        <f t="shared" si="61"/>
        <v>0</v>
      </c>
      <c r="BM62" s="35">
        <f t="shared" si="61"/>
        <v>0</v>
      </c>
      <c r="BN62" s="35">
        <f t="shared" si="61"/>
        <v>366</v>
      </c>
      <c r="BO62" s="35">
        <f t="shared" si="61"/>
        <v>955</v>
      </c>
      <c r="BP62" s="35">
        <f t="shared" si="61"/>
        <v>270</v>
      </c>
      <c r="BQ62" s="35">
        <f t="shared" ref="BQ62" si="64">BQ19+BQ22+BQ25+BQ28+BQ31+BQ34+BQ37+BQ37+BQ40+BQ43+BQ46+BQ49+BQ55+BQ60</f>
        <v>833</v>
      </c>
    </row>
    <row r="63" spans="1:69" x14ac:dyDescent="0.25">
      <c r="B63" s="12">
        <v>4</v>
      </c>
      <c r="C63" s="12">
        <v>4</v>
      </c>
      <c r="D63" s="12">
        <v>4</v>
      </c>
      <c r="E63" s="12">
        <v>4</v>
      </c>
      <c r="F63" s="12">
        <v>0</v>
      </c>
      <c r="G63" s="12">
        <v>4</v>
      </c>
      <c r="H63" s="12">
        <v>4</v>
      </c>
      <c r="I63" s="12">
        <v>3</v>
      </c>
      <c r="J63" s="12">
        <v>2</v>
      </c>
      <c r="K63" s="12">
        <v>4</v>
      </c>
      <c r="L63" s="12">
        <v>0</v>
      </c>
      <c r="M63" s="12">
        <v>4</v>
      </c>
      <c r="N63" s="12">
        <v>4</v>
      </c>
      <c r="O63" s="18">
        <v>0</v>
      </c>
      <c r="P63" s="12">
        <v>4</v>
      </c>
      <c r="Q63" s="12">
        <v>4</v>
      </c>
      <c r="R63" s="19">
        <v>4</v>
      </c>
      <c r="S63" s="12">
        <v>4</v>
      </c>
      <c r="T63" s="12">
        <v>3</v>
      </c>
      <c r="U63" s="12">
        <v>4</v>
      </c>
      <c r="V63" s="12">
        <v>4</v>
      </c>
      <c r="W63" s="12">
        <v>4</v>
      </c>
      <c r="X63" s="12">
        <v>3</v>
      </c>
      <c r="Y63" s="12">
        <v>4</v>
      </c>
      <c r="Z63" s="12">
        <v>4</v>
      </c>
      <c r="AA63" s="12">
        <v>3</v>
      </c>
      <c r="AB63" s="12">
        <v>4</v>
      </c>
      <c r="AC63" s="12">
        <v>2</v>
      </c>
      <c r="AD63" s="12">
        <v>0</v>
      </c>
      <c r="AE63" s="12">
        <v>4</v>
      </c>
      <c r="AF63" s="12">
        <v>4</v>
      </c>
      <c r="AG63" s="12">
        <v>4</v>
      </c>
      <c r="AH63" s="12">
        <v>4</v>
      </c>
      <c r="AI63" s="12">
        <v>4</v>
      </c>
      <c r="AJ63" s="12">
        <v>4</v>
      </c>
      <c r="AK63" s="12">
        <v>4</v>
      </c>
      <c r="AL63" s="12">
        <v>4</v>
      </c>
      <c r="AM63" s="12">
        <v>4</v>
      </c>
      <c r="AN63" s="12">
        <v>4</v>
      </c>
      <c r="AO63" s="12">
        <v>2</v>
      </c>
      <c r="AP63" s="12">
        <v>4</v>
      </c>
      <c r="AQ63" s="12">
        <v>4</v>
      </c>
      <c r="AR63" s="12">
        <v>3</v>
      </c>
      <c r="AS63" s="12">
        <v>3</v>
      </c>
      <c r="AT63" s="12">
        <v>0</v>
      </c>
      <c r="AU63" s="12">
        <v>4</v>
      </c>
      <c r="AV63" s="12">
        <v>3</v>
      </c>
      <c r="AW63" s="12">
        <v>3</v>
      </c>
      <c r="AX63" s="12">
        <v>4</v>
      </c>
      <c r="AY63" s="12">
        <v>4</v>
      </c>
      <c r="AZ63" s="12">
        <v>3</v>
      </c>
      <c r="BA63" s="12">
        <v>4</v>
      </c>
      <c r="BB63" s="12">
        <v>4</v>
      </c>
      <c r="BC63" s="12">
        <v>2</v>
      </c>
      <c r="BD63" s="12">
        <v>3</v>
      </c>
      <c r="BE63" s="12">
        <v>4</v>
      </c>
      <c r="BF63" s="12">
        <v>3</v>
      </c>
      <c r="BG63" s="35">
        <v>4</v>
      </c>
      <c r="BH63" s="35">
        <v>4</v>
      </c>
      <c r="BI63" s="35">
        <v>2</v>
      </c>
      <c r="BJ63" s="35">
        <v>4</v>
      </c>
      <c r="BK63" s="35">
        <v>3</v>
      </c>
      <c r="BL63" s="35">
        <v>4</v>
      </c>
      <c r="BM63" s="35">
        <v>3</v>
      </c>
      <c r="BN63" s="35">
        <v>4</v>
      </c>
      <c r="BO63" s="35">
        <v>4</v>
      </c>
      <c r="BP63" s="38">
        <v>2</v>
      </c>
      <c r="BQ63" s="38">
        <v>4</v>
      </c>
    </row>
    <row r="64" spans="1:69" x14ac:dyDescent="0.25">
      <c r="B64" s="12">
        <v>0</v>
      </c>
      <c r="C64" s="12">
        <v>3</v>
      </c>
      <c r="D64" s="12">
        <v>1</v>
      </c>
      <c r="E64" s="12">
        <v>4</v>
      </c>
      <c r="F64" s="12">
        <v>3</v>
      </c>
      <c r="G64" s="12">
        <v>3</v>
      </c>
      <c r="H64" s="12">
        <v>3</v>
      </c>
      <c r="I64" s="12">
        <v>3</v>
      </c>
      <c r="J64" s="12">
        <v>2</v>
      </c>
      <c r="K64" s="12">
        <v>4</v>
      </c>
      <c r="L64" s="12">
        <v>3</v>
      </c>
      <c r="M64" s="12">
        <v>4</v>
      </c>
      <c r="N64" s="12">
        <v>3</v>
      </c>
      <c r="O64" s="18">
        <v>0</v>
      </c>
      <c r="P64" s="12">
        <v>1</v>
      </c>
      <c r="Q64" s="12">
        <v>3</v>
      </c>
      <c r="R64" s="19">
        <v>4</v>
      </c>
      <c r="S64" s="12">
        <v>4</v>
      </c>
      <c r="T64" s="12">
        <v>4</v>
      </c>
      <c r="U64" s="12">
        <v>4</v>
      </c>
      <c r="V64" s="12">
        <v>1</v>
      </c>
      <c r="W64" s="12">
        <v>4</v>
      </c>
      <c r="X64" s="12">
        <v>2</v>
      </c>
      <c r="Y64" s="12">
        <v>0</v>
      </c>
      <c r="Z64" s="12">
        <v>3</v>
      </c>
      <c r="AA64" s="12">
        <v>3</v>
      </c>
      <c r="AB64" s="12">
        <v>1</v>
      </c>
      <c r="AC64" s="12">
        <v>2</v>
      </c>
      <c r="AD64" s="12">
        <v>0</v>
      </c>
      <c r="AE64" s="12">
        <v>3</v>
      </c>
      <c r="AF64" s="12">
        <v>4</v>
      </c>
      <c r="AG64" s="12">
        <v>3</v>
      </c>
      <c r="AH64" s="12">
        <v>3</v>
      </c>
      <c r="AI64" s="12">
        <v>4</v>
      </c>
      <c r="AJ64" s="12">
        <v>3</v>
      </c>
      <c r="AK64" s="12">
        <v>4</v>
      </c>
      <c r="AL64" s="12">
        <v>4</v>
      </c>
      <c r="AM64" s="12">
        <v>4</v>
      </c>
      <c r="AN64" s="12">
        <v>4</v>
      </c>
      <c r="AO64" s="12">
        <v>3</v>
      </c>
      <c r="AP64" s="12">
        <v>2</v>
      </c>
      <c r="AQ64" s="12">
        <v>4</v>
      </c>
      <c r="AR64" s="12">
        <v>3</v>
      </c>
      <c r="AS64" s="12">
        <v>3</v>
      </c>
      <c r="AT64" s="12">
        <v>3</v>
      </c>
      <c r="AU64" s="12">
        <v>4</v>
      </c>
      <c r="AV64" s="12">
        <v>1</v>
      </c>
      <c r="AW64" s="12">
        <v>2</v>
      </c>
      <c r="AX64" s="12">
        <v>3</v>
      </c>
      <c r="AY64" s="12">
        <v>3</v>
      </c>
      <c r="AZ64" s="12">
        <v>2</v>
      </c>
      <c r="BA64" s="12">
        <v>4</v>
      </c>
      <c r="BB64" s="12">
        <v>2</v>
      </c>
      <c r="BC64" s="12">
        <v>1</v>
      </c>
      <c r="BD64" s="12">
        <v>4</v>
      </c>
      <c r="BE64" s="12">
        <v>4</v>
      </c>
      <c r="BF64" s="12">
        <v>3</v>
      </c>
      <c r="BG64" s="35">
        <v>3</v>
      </c>
      <c r="BH64" s="35">
        <v>2</v>
      </c>
      <c r="BI64" s="35">
        <v>1</v>
      </c>
      <c r="BJ64" s="35">
        <v>3</v>
      </c>
      <c r="BK64" s="35">
        <v>2</v>
      </c>
      <c r="BL64" s="35">
        <v>3</v>
      </c>
      <c r="BM64" s="35">
        <v>4</v>
      </c>
      <c r="BN64" s="35">
        <v>3</v>
      </c>
      <c r="BO64" s="35">
        <v>3</v>
      </c>
      <c r="BP64" s="38">
        <v>1</v>
      </c>
      <c r="BQ64" s="38">
        <v>2</v>
      </c>
    </row>
    <row r="65" spans="2:69" x14ac:dyDescent="0.25">
      <c r="B65" s="12">
        <v>0</v>
      </c>
      <c r="C65" s="12">
        <v>4</v>
      </c>
      <c r="D65" s="12">
        <v>1</v>
      </c>
      <c r="E65" s="12">
        <v>4</v>
      </c>
      <c r="F65" s="12">
        <v>3</v>
      </c>
      <c r="G65" s="12">
        <v>3</v>
      </c>
      <c r="H65" s="12">
        <v>4</v>
      </c>
      <c r="I65" s="12">
        <v>3</v>
      </c>
      <c r="J65" s="12">
        <v>2</v>
      </c>
      <c r="K65" s="12">
        <v>4</v>
      </c>
      <c r="L65" s="12">
        <v>3</v>
      </c>
      <c r="M65" s="12">
        <v>4</v>
      </c>
      <c r="N65" s="12">
        <v>3</v>
      </c>
      <c r="O65" s="18">
        <v>0</v>
      </c>
      <c r="P65" s="12">
        <v>1</v>
      </c>
      <c r="Q65" s="12">
        <v>3</v>
      </c>
      <c r="R65" s="19">
        <v>4</v>
      </c>
      <c r="S65" s="12">
        <v>4</v>
      </c>
      <c r="T65" s="12">
        <v>4</v>
      </c>
      <c r="U65" s="12">
        <v>4</v>
      </c>
      <c r="V65" s="12">
        <v>3</v>
      </c>
      <c r="W65" s="12">
        <v>4</v>
      </c>
      <c r="X65" s="12">
        <v>0</v>
      </c>
      <c r="Y65" s="12">
        <v>4</v>
      </c>
      <c r="Z65" s="12">
        <v>3</v>
      </c>
      <c r="AA65" s="12">
        <v>2</v>
      </c>
      <c r="AB65" s="12">
        <v>2</v>
      </c>
      <c r="AC65" s="12">
        <v>3</v>
      </c>
      <c r="AD65" s="12">
        <v>0</v>
      </c>
      <c r="AE65" s="12">
        <v>3</v>
      </c>
      <c r="AF65" s="12">
        <v>4</v>
      </c>
      <c r="AG65" s="12">
        <v>4</v>
      </c>
      <c r="AH65" s="12">
        <v>3</v>
      </c>
      <c r="AI65" s="12">
        <v>4</v>
      </c>
      <c r="AJ65" s="12">
        <v>3</v>
      </c>
      <c r="AK65" s="12">
        <v>4</v>
      </c>
      <c r="AL65" s="12">
        <v>3</v>
      </c>
      <c r="AM65" s="12">
        <v>4</v>
      </c>
      <c r="AN65" s="12">
        <v>4</v>
      </c>
      <c r="AO65" s="12">
        <v>3</v>
      </c>
      <c r="AP65" s="12">
        <v>2</v>
      </c>
      <c r="AQ65" s="12">
        <v>4</v>
      </c>
      <c r="AR65" s="12">
        <v>1</v>
      </c>
      <c r="AS65" s="12">
        <v>2</v>
      </c>
      <c r="AT65" s="12">
        <v>2</v>
      </c>
      <c r="AU65" s="12">
        <v>4</v>
      </c>
      <c r="AV65" s="12">
        <v>1</v>
      </c>
      <c r="AW65" s="12">
        <v>4</v>
      </c>
      <c r="AX65" s="12">
        <v>3</v>
      </c>
      <c r="AY65" s="12">
        <v>3</v>
      </c>
      <c r="AZ65" s="12">
        <v>2</v>
      </c>
      <c r="BA65" s="12">
        <v>3</v>
      </c>
      <c r="BB65" s="12">
        <v>1</v>
      </c>
      <c r="BC65" s="12">
        <v>2</v>
      </c>
      <c r="BD65" s="12">
        <v>4</v>
      </c>
      <c r="BE65" s="12">
        <v>4</v>
      </c>
      <c r="BF65" s="12">
        <v>3</v>
      </c>
      <c r="BG65" s="35">
        <v>2</v>
      </c>
      <c r="BH65" s="35">
        <v>1</v>
      </c>
      <c r="BI65" s="35">
        <v>2</v>
      </c>
      <c r="BJ65" s="35">
        <v>3</v>
      </c>
      <c r="BK65" s="35">
        <v>4</v>
      </c>
      <c r="BL65" s="35">
        <v>3</v>
      </c>
      <c r="BM65" s="35">
        <v>4</v>
      </c>
      <c r="BN65" s="35">
        <v>3</v>
      </c>
      <c r="BO65" s="35">
        <v>3</v>
      </c>
      <c r="BP65" s="38">
        <v>1</v>
      </c>
      <c r="BQ65" s="38">
        <v>1</v>
      </c>
    </row>
    <row r="66" spans="2:69" x14ac:dyDescent="0.25">
      <c r="B66" s="12">
        <v>2</v>
      </c>
      <c r="C66" s="12">
        <v>4</v>
      </c>
      <c r="D66" s="12">
        <v>3</v>
      </c>
      <c r="E66" s="12">
        <v>4</v>
      </c>
      <c r="F66" s="12">
        <v>3</v>
      </c>
      <c r="G66" s="12">
        <v>4</v>
      </c>
      <c r="H66" s="12">
        <v>4</v>
      </c>
      <c r="I66" s="12">
        <v>2</v>
      </c>
      <c r="J66" s="12">
        <v>2</v>
      </c>
      <c r="K66" s="12">
        <v>4</v>
      </c>
      <c r="L66" s="12">
        <v>3</v>
      </c>
      <c r="M66" s="12">
        <v>4</v>
      </c>
      <c r="N66" s="12">
        <v>4</v>
      </c>
      <c r="O66" s="18">
        <v>0</v>
      </c>
      <c r="P66" s="12">
        <v>3</v>
      </c>
      <c r="Q66" s="12">
        <v>2</v>
      </c>
      <c r="R66" s="19">
        <v>4</v>
      </c>
      <c r="S66" s="12">
        <v>4</v>
      </c>
      <c r="T66" s="12">
        <v>1</v>
      </c>
      <c r="U66" s="12">
        <v>3</v>
      </c>
      <c r="V66" s="12">
        <v>1</v>
      </c>
      <c r="W66" s="12">
        <v>4</v>
      </c>
      <c r="X66" s="12">
        <v>1</v>
      </c>
      <c r="Y66" s="12">
        <v>4</v>
      </c>
      <c r="Z66" s="12">
        <v>4</v>
      </c>
      <c r="AA66" s="12">
        <v>4</v>
      </c>
      <c r="AB66" s="12">
        <v>3</v>
      </c>
      <c r="AC66" s="12">
        <v>3</v>
      </c>
      <c r="AD66" s="12">
        <v>0</v>
      </c>
      <c r="AE66" s="12">
        <v>3</v>
      </c>
      <c r="AF66" s="12">
        <v>4</v>
      </c>
      <c r="AG66" s="12">
        <v>4</v>
      </c>
      <c r="AH66" s="12">
        <v>3</v>
      </c>
      <c r="AI66" s="12">
        <v>4</v>
      </c>
      <c r="AJ66" s="12">
        <v>3</v>
      </c>
      <c r="AK66" s="12">
        <v>4</v>
      </c>
      <c r="AL66" s="12">
        <v>4</v>
      </c>
      <c r="AM66" s="12">
        <v>4</v>
      </c>
      <c r="AN66" s="12">
        <v>4</v>
      </c>
      <c r="AO66" s="12">
        <v>3</v>
      </c>
      <c r="AP66" s="12">
        <v>3</v>
      </c>
      <c r="AQ66" s="12">
        <v>4</v>
      </c>
      <c r="AR66" s="12">
        <v>3</v>
      </c>
      <c r="AS66" s="12">
        <v>3</v>
      </c>
      <c r="AT66" s="12">
        <v>4</v>
      </c>
      <c r="AU66" s="12">
        <v>4</v>
      </c>
      <c r="AV66" s="12">
        <v>1</v>
      </c>
      <c r="AW66" s="12">
        <v>3</v>
      </c>
      <c r="AX66" s="12">
        <v>2</v>
      </c>
      <c r="AY66" s="12">
        <v>3</v>
      </c>
      <c r="AZ66" s="12">
        <v>4</v>
      </c>
      <c r="BA66" s="12">
        <v>4</v>
      </c>
      <c r="BB66" s="12">
        <v>2</v>
      </c>
      <c r="BC66" s="12">
        <v>2</v>
      </c>
      <c r="BD66" s="12">
        <v>4</v>
      </c>
      <c r="BE66" s="12">
        <v>4</v>
      </c>
      <c r="BF66" s="12">
        <v>3</v>
      </c>
      <c r="BG66" s="35">
        <v>3</v>
      </c>
      <c r="BH66" s="35">
        <v>2</v>
      </c>
      <c r="BI66" s="35">
        <v>2</v>
      </c>
      <c r="BJ66" s="35">
        <v>3</v>
      </c>
      <c r="BK66" s="35">
        <v>3</v>
      </c>
      <c r="BL66" s="35">
        <v>4</v>
      </c>
      <c r="BM66" s="35">
        <v>4</v>
      </c>
      <c r="BN66" s="35">
        <v>4</v>
      </c>
      <c r="BO66" s="35">
        <v>4</v>
      </c>
      <c r="BP66" s="38">
        <v>2</v>
      </c>
      <c r="BQ66" s="38">
        <v>1</v>
      </c>
    </row>
    <row r="67" spans="2:69" x14ac:dyDescent="0.25">
      <c r="B67" s="12">
        <v>4</v>
      </c>
      <c r="C67" s="12">
        <v>4</v>
      </c>
      <c r="D67" s="12">
        <v>3</v>
      </c>
      <c r="E67" s="12">
        <v>4</v>
      </c>
      <c r="F67" s="12">
        <v>4</v>
      </c>
      <c r="G67" s="12">
        <v>3</v>
      </c>
      <c r="H67" s="12">
        <v>4</v>
      </c>
      <c r="I67" s="12">
        <v>3</v>
      </c>
      <c r="J67" s="12">
        <v>3</v>
      </c>
      <c r="K67" s="12">
        <v>4</v>
      </c>
      <c r="L67" s="12">
        <v>4</v>
      </c>
      <c r="M67" s="12">
        <v>4</v>
      </c>
      <c r="N67" s="12">
        <v>4</v>
      </c>
      <c r="O67" s="18">
        <v>0</v>
      </c>
      <c r="P67" s="12">
        <v>4</v>
      </c>
      <c r="Q67" s="12">
        <v>4</v>
      </c>
      <c r="R67" s="19">
        <v>4</v>
      </c>
      <c r="S67" s="12">
        <v>4</v>
      </c>
      <c r="T67" s="12">
        <v>3</v>
      </c>
      <c r="U67" s="12">
        <v>4</v>
      </c>
      <c r="V67" s="12">
        <v>4</v>
      </c>
      <c r="W67" s="12">
        <v>4</v>
      </c>
      <c r="X67" s="12">
        <v>2</v>
      </c>
      <c r="Y67" s="12">
        <v>4</v>
      </c>
      <c r="Z67" s="12">
        <v>4</v>
      </c>
      <c r="AA67" s="12">
        <v>4</v>
      </c>
      <c r="AB67" s="12">
        <v>2</v>
      </c>
      <c r="AC67" s="12">
        <v>2</v>
      </c>
      <c r="AD67" s="12">
        <v>4</v>
      </c>
      <c r="AE67" s="12">
        <v>3</v>
      </c>
      <c r="AF67" s="12">
        <v>4</v>
      </c>
      <c r="AG67" s="12">
        <v>4</v>
      </c>
      <c r="AH67" s="12">
        <v>4</v>
      </c>
      <c r="AI67" s="12">
        <v>4</v>
      </c>
      <c r="AJ67" s="12">
        <v>3</v>
      </c>
      <c r="AK67" s="12">
        <v>4</v>
      </c>
      <c r="AL67" s="12">
        <v>4</v>
      </c>
      <c r="AM67" s="12">
        <v>4</v>
      </c>
      <c r="AN67" s="12">
        <v>4</v>
      </c>
      <c r="AO67" s="12">
        <v>3</v>
      </c>
      <c r="AP67" s="12">
        <v>4</v>
      </c>
      <c r="AQ67" s="12">
        <v>4</v>
      </c>
      <c r="AR67" s="12">
        <v>4</v>
      </c>
      <c r="AS67" s="12">
        <v>4</v>
      </c>
      <c r="AT67" s="12">
        <v>3</v>
      </c>
      <c r="AU67" s="12">
        <v>4</v>
      </c>
      <c r="AV67" s="12">
        <v>3</v>
      </c>
      <c r="AW67" s="12">
        <v>3</v>
      </c>
      <c r="AX67" s="12">
        <v>3</v>
      </c>
      <c r="AY67" s="12">
        <v>4</v>
      </c>
      <c r="AZ67" s="12">
        <v>4</v>
      </c>
      <c r="BA67" s="12">
        <v>4</v>
      </c>
      <c r="BB67" s="12">
        <v>4</v>
      </c>
      <c r="BC67" s="12">
        <v>3</v>
      </c>
      <c r="BD67" s="12">
        <v>4</v>
      </c>
      <c r="BE67" s="12">
        <v>3</v>
      </c>
      <c r="BF67" s="12">
        <v>3</v>
      </c>
      <c r="BG67" s="35">
        <v>4</v>
      </c>
      <c r="BH67" s="35">
        <v>3</v>
      </c>
      <c r="BI67" s="35">
        <v>3</v>
      </c>
      <c r="BJ67" s="35">
        <v>4</v>
      </c>
      <c r="BK67" s="35">
        <v>3</v>
      </c>
      <c r="BL67" s="35">
        <v>4</v>
      </c>
      <c r="BM67" s="35">
        <v>4</v>
      </c>
      <c r="BN67" s="35">
        <v>4</v>
      </c>
      <c r="BO67" s="35">
        <v>4</v>
      </c>
      <c r="BP67" s="38">
        <v>2</v>
      </c>
      <c r="BQ67" s="38">
        <v>3</v>
      </c>
    </row>
    <row r="68" spans="2:69" x14ac:dyDescent="0.25">
      <c r="B68" s="12">
        <v>4</v>
      </c>
      <c r="C68" s="12">
        <v>4</v>
      </c>
      <c r="D68" s="12">
        <v>4</v>
      </c>
      <c r="E68" s="12">
        <v>4</v>
      </c>
      <c r="F68" s="12">
        <v>4</v>
      </c>
      <c r="G68" s="12">
        <v>3</v>
      </c>
      <c r="H68" s="12">
        <v>4</v>
      </c>
      <c r="I68" s="12">
        <v>4</v>
      </c>
      <c r="J68" s="12">
        <v>3</v>
      </c>
      <c r="K68" s="12">
        <v>4</v>
      </c>
      <c r="L68" s="12">
        <v>4</v>
      </c>
      <c r="M68" s="12">
        <v>4</v>
      </c>
      <c r="N68" s="12">
        <v>4</v>
      </c>
      <c r="O68" s="18">
        <v>0</v>
      </c>
      <c r="P68" s="12">
        <v>4</v>
      </c>
      <c r="Q68" s="12">
        <v>4</v>
      </c>
      <c r="R68" s="19">
        <v>4</v>
      </c>
      <c r="S68" s="12">
        <v>4</v>
      </c>
      <c r="T68" s="12">
        <v>4</v>
      </c>
      <c r="U68" s="12">
        <v>4</v>
      </c>
      <c r="V68" s="12">
        <v>4</v>
      </c>
      <c r="W68" s="12">
        <v>4</v>
      </c>
      <c r="X68" s="12">
        <v>3</v>
      </c>
      <c r="Y68" s="12">
        <v>4</v>
      </c>
      <c r="Z68" s="12">
        <v>4</v>
      </c>
      <c r="AA68" s="12">
        <v>4</v>
      </c>
      <c r="AB68" s="12">
        <v>4</v>
      </c>
      <c r="AC68" s="12">
        <v>3</v>
      </c>
      <c r="AD68" s="12">
        <v>4</v>
      </c>
      <c r="AE68" s="12">
        <v>3</v>
      </c>
      <c r="AF68" s="12">
        <v>4</v>
      </c>
      <c r="AG68" s="12">
        <v>3</v>
      </c>
      <c r="AH68" s="12">
        <v>4</v>
      </c>
      <c r="AI68" s="12">
        <v>4</v>
      </c>
      <c r="AJ68" s="12">
        <v>2</v>
      </c>
      <c r="AK68" s="12">
        <v>4</v>
      </c>
      <c r="AL68" s="12">
        <v>3</v>
      </c>
      <c r="AM68" s="12">
        <v>4</v>
      </c>
      <c r="AN68" s="12">
        <v>4</v>
      </c>
      <c r="AO68" s="12">
        <v>2</v>
      </c>
      <c r="AP68" s="12">
        <v>4</v>
      </c>
      <c r="AQ68" s="12">
        <v>4</v>
      </c>
      <c r="AR68" s="12">
        <v>4</v>
      </c>
      <c r="AS68" s="12">
        <v>3</v>
      </c>
      <c r="AT68" s="12">
        <v>2</v>
      </c>
      <c r="AU68" s="12">
        <v>4</v>
      </c>
      <c r="AV68" s="12">
        <v>3</v>
      </c>
      <c r="AW68" s="12">
        <v>4</v>
      </c>
      <c r="AX68" s="12">
        <v>3</v>
      </c>
      <c r="AY68" s="12">
        <v>4</v>
      </c>
      <c r="AZ68" s="12">
        <v>3</v>
      </c>
      <c r="BA68" s="12">
        <v>4</v>
      </c>
      <c r="BB68" s="12">
        <v>4</v>
      </c>
      <c r="BC68" s="12">
        <v>3</v>
      </c>
      <c r="BD68" s="12">
        <v>3</v>
      </c>
      <c r="BE68" s="12">
        <v>4</v>
      </c>
      <c r="BF68" s="12">
        <v>3</v>
      </c>
      <c r="BG68" s="35">
        <v>3</v>
      </c>
      <c r="BH68" s="35">
        <v>3</v>
      </c>
      <c r="BI68" s="35">
        <v>3</v>
      </c>
      <c r="BJ68" s="35">
        <v>4</v>
      </c>
      <c r="BK68" s="35">
        <v>4</v>
      </c>
      <c r="BL68" s="35">
        <v>4</v>
      </c>
      <c r="BM68" s="35">
        <v>4</v>
      </c>
      <c r="BN68" s="35">
        <v>4</v>
      </c>
      <c r="BO68" s="35">
        <v>4</v>
      </c>
      <c r="BP68" s="38">
        <v>3</v>
      </c>
      <c r="BQ68" s="38">
        <v>4</v>
      </c>
    </row>
    <row r="69" spans="2:69" x14ac:dyDescent="0.25">
      <c r="B69" s="12">
        <v>3</v>
      </c>
      <c r="C69" s="12">
        <v>4</v>
      </c>
      <c r="D69" s="12">
        <v>4</v>
      </c>
      <c r="E69" s="12">
        <v>4</v>
      </c>
      <c r="F69" s="12">
        <v>3</v>
      </c>
      <c r="G69" s="12">
        <v>3</v>
      </c>
      <c r="H69" s="12">
        <v>4</v>
      </c>
      <c r="I69" s="12">
        <v>3</v>
      </c>
      <c r="J69" s="12">
        <v>3</v>
      </c>
      <c r="K69" s="12">
        <v>4</v>
      </c>
      <c r="L69" s="12">
        <v>4</v>
      </c>
      <c r="M69" s="12">
        <v>4</v>
      </c>
      <c r="N69" s="12">
        <v>3</v>
      </c>
      <c r="O69" s="18">
        <v>0</v>
      </c>
      <c r="P69" s="12">
        <v>4</v>
      </c>
      <c r="Q69" s="12">
        <v>4</v>
      </c>
      <c r="R69" s="19">
        <v>4</v>
      </c>
      <c r="S69" s="12">
        <v>4</v>
      </c>
      <c r="T69" s="12">
        <v>4</v>
      </c>
      <c r="U69" s="12">
        <v>4</v>
      </c>
      <c r="V69" s="12">
        <v>4</v>
      </c>
      <c r="W69" s="12">
        <v>4</v>
      </c>
      <c r="X69" s="12">
        <v>3</v>
      </c>
      <c r="Y69" s="12">
        <v>4</v>
      </c>
      <c r="Z69" s="12">
        <v>4</v>
      </c>
      <c r="AA69" s="12">
        <v>4</v>
      </c>
      <c r="AB69" s="12">
        <v>4</v>
      </c>
      <c r="AC69" s="12">
        <v>3</v>
      </c>
      <c r="AD69" s="12">
        <v>4</v>
      </c>
      <c r="AE69" s="12">
        <v>3</v>
      </c>
      <c r="AF69" s="12">
        <v>4</v>
      </c>
      <c r="AG69" s="12">
        <v>4</v>
      </c>
      <c r="AH69" s="12">
        <v>3</v>
      </c>
      <c r="AI69" s="12">
        <v>4</v>
      </c>
      <c r="AJ69" s="12">
        <v>4</v>
      </c>
      <c r="AK69" s="12">
        <v>4</v>
      </c>
      <c r="AL69" s="12">
        <v>3</v>
      </c>
      <c r="AM69" s="12">
        <v>4</v>
      </c>
      <c r="AN69" s="12">
        <v>4</v>
      </c>
      <c r="AO69" s="12">
        <v>3</v>
      </c>
      <c r="AP69" s="12">
        <v>4</v>
      </c>
      <c r="AQ69" s="12">
        <v>3</v>
      </c>
      <c r="AR69" s="12">
        <v>4</v>
      </c>
      <c r="AS69" s="12">
        <v>3</v>
      </c>
      <c r="AT69" s="12">
        <v>2</v>
      </c>
      <c r="AU69" s="12">
        <v>4</v>
      </c>
      <c r="AV69" s="12">
        <v>3</v>
      </c>
      <c r="AW69" s="12">
        <v>4</v>
      </c>
      <c r="AX69" s="12">
        <v>3</v>
      </c>
      <c r="AY69" s="12">
        <v>4</v>
      </c>
      <c r="AZ69" s="12">
        <v>1</v>
      </c>
      <c r="BA69" s="12">
        <v>4</v>
      </c>
      <c r="BB69" s="12">
        <v>4</v>
      </c>
      <c r="BC69" s="12">
        <v>2</v>
      </c>
      <c r="BD69" s="12">
        <v>4</v>
      </c>
      <c r="BE69" s="12">
        <v>4</v>
      </c>
      <c r="BF69" s="12">
        <v>3</v>
      </c>
      <c r="BG69" s="35">
        <v>4</v>
      </c>
      <c r="BH69" s="35">
        <v>3</v>
      </c>
      <c r="BI69" s="35">
        <v>3</v>
      </c>
      <c r="BJ69" s="35">
        <v>4</v>
      </c>
      <c r="BK69" s="35">
        <v>4</v>
      </c>
      <c r="BL69" s="35">
        <v>4</v>
      </c>
      <c r="BM69" s="35">
        <v>4</v>
      </c>
      <c r="BN69" s="35">
        <v>4</v>
      </c>
      <c r="BO69" s="35">
        <v>4</v>
      </c>
      <c r="BP69" s="38">
        <v>3</v>
      </c>
      <c r="BQ69" s="38">
        <v>4</v>
      </c>
    </row>
    <row r="70" spans="2:69" x14ac:dyDescent="0.25">
      <c r="B70" s="12">
        <v>3</v>
      </c>
      <c r="C70" s="12">
        <v>4</v>
      </c>
      <c r="D70" s="12">
        <v>3</v>
      </c>
      <c r="E70" s="12">
        <v>4</v>
      </c>
      <c r="F70" s="12">
        <v>4</v>
      </c>
      <c r="G70" s="12">
        <v>4</v>
      </c>
      <c r="H70" s="12">
        <v>4</v>
      </c>
      <c r="I70" s="12">
        <v>3</v>
      </c>
      <c r="J70" s="12">
        <v>3</v>
      </c>
      <c r="K70" s="12">
        <v>4</v>
      </c>
      <c r="L70" s="12">
        <v>1</v>
      </c>
      <c r="M70" s="12">
        <v>4</v>
      </c>
      <c r="N70" s="12">
        <v>4</v>
      </c>
      <c r="O70" s="18">
        <v>0</v>
      </c>
      <c r="P70" s="12">
        <v>4</v>
      </c>
      <c r="Q70" s="12">
        <v>4</v>
      </c>
      <c r="R70" s="19">
        <v>4</v>
      </c>
      <c r="S70" s="12">
        <v>4</v>
      </c>
      <c r="T70" s="12">
        <v>4</v>
      </c>
      <c r="U70" s="12">
        <v>2</v>
      </c>
      <c r="V70" s="12">
        <v>0</v>
      </c>
      <c r="W70" s="12">
        <v>3</v>
      </c>
      <c r="X70" s="12">
        <v>2</v>
      </c>
      <c r="Y70" s="12">
        <v>4</v>
      </c>
      <c r="Z70" s="12">
        <v>3</v>
      </c>
      <c r="AA70" s="12">
        <v>4</v>
      </c>
      <c r="AB70" s="12">
        <v>4</v>
      </c>
      <c r="AC70" s="12">
        <v>2</v>
      </c>
      <c r="AD70" s="12">
        <v>4</v>
      </c>
      <c r="AE70" s="12">
        <v>3</v>
      </c>
      <c r="AF70" s="12">
        <v>4</v>
      </c>
      <c r="AG70" s="12">
        <v>4</v>
      </c>
      <c r="AH70" s="12">
        <v>3</v>
      </c>
      <c r="AI70" s="12">
        <v>4</v>
      </c>
      <c r="AJ70" s="12">
        <v>3</v>
      </c>
      <c r="AK70" s="12">
        <v>3</v>
      </c>
      <c r="AL70" s="12">
        <v>3</v>
      </c>
      <c r="AM70" s="12">
        <v>4</v>
      </c>
      <c r="AN70" s="12">
        <v>4</v>
      </c>
      <c r="AO70" s="12">
        <v>3</v>
      </c>
      <c r="AP70" s="12">
        <v>4</v>
      </c>
      <c r="AQ70" s="12">
        <v>4</v>
      </c>
      <c r="AR70" s="12">
        <v>4</v>
      </c>
      <c r="AS70" s="12">
        <v>4</v>
      </c>
      <c r="AT70" s="12">
        <v>2</v>
      </c>
      <c r="AU70" s="12">
        <v>4</v>
      </c>
      <c r="AV70" s="12">
        <v>3</v>
      </c>
      <c r="AW70" s="12">
        <v>1</v>
      </c>
      <c r="AX70" s="12">
        <v>2</v>
      </c>
      <c r="AY70" s="12">
        <v>3</v>
      </c>
      <c r="AZ70" s="12">
        <v>3</v>
      </c>
      <c r="BA70" s="12">
        <v>4</v>
      </c>
      <c r="BB70" s="12">
        <v>4</v>
      </c>
      <c r="BC70" s="12">
        <v>2</v>
      </c>
      <c r="BD70" s="12">
        <v>3</v>
      </c>
      <c r="BE70" s="12">
        <v>4</v>
      </c>
      <c r="BF70" s="12">
        <v>2</v>
      </c>
      <c r="BG70" s="35">
        <v>3</v>
      </c>
      <c r="BH70" s="35">
        <v>3</v>
      </c>
      <c r="BI70" s="35">
        <v>1</v>
      </c>
      <c r="BJ70" s="35">
        <v>4</v>
      </c>
      <c r="BK70" s="35">
        <v>1</v>
      </c>
      <c r="BL70" s="35">
        <v>4</v>
      </c>
      <c r="BM70" s="35">
        <v>3</v>
      </c>
      <c r="BN70" s="35">
        <v>4</v>
      </c>
      <c r="BO70" s="35">
        <v>4</v>
      </c>
      <c r="BP70" s="38">
        <v>3</v>
      </c>
      <c r="BQ70" s="38">
        <v>2</v>
      </c>
    </row>
    <row r="71" spans="2:69" x14ac:dyDescent="0.25">
      <c r="B71" s="12">
        <v>1</v>
      </c>
      <c r="C71" s="12">
        <v>4</v>
      </c>
      <c r="D71" s="12">
        <v>3</v>
      </c>
      <c r="E71" s="12">
        <v>4</v>
      </c>
      <c r="F71" s="12">
        <v>4</v>
      </c>
      <c r="G71" s="12">
        <v>4</v>
      </c>
      <c r="H71" s="12">
        <v>4</v>
      </c>
      <c r="I71" s="12">
        <v>3</v>
      </c>
      <c r="J71" s="12">
        <v>3</v>
      </c>
      <c r="K71" s="12">
        <v>4</v>
      </c>
      <c r="L71" s="12">
        <v>1</v>
      </c>
      <c r="M71" s="12">
        <v>4</v>
      </c>
      <c r="N71" s="12">
        <v>4</v>
      </c>
      <c r="O71" s="18">
        <v>0</v>
      </c>
      <c r="P71" s="12">
        <v>4</v>
      </c>
      <c r="Q71" s="12">
        <v>4</v>
      </c>
      <c r="R71" s="19">
        <v>4</v>
      </c>
      <c r="S71" s="12">
        <v>4</v>
      </c>
      <c r="T71" s="12">
        <v>4</v>
      </c>
      <c r="U71" s="12">
        <v>4</v>
      </c>
      <c r="V71" s="12">
        <v>1</v>
      </c>
      <c r="W71" s="12">
        <v>3</v>
      </c>
      <c r="X71" s="12">
        <v>3</v>
      </c>
      <c r="Y71" s="12">
        <v>4</v>
      </c>
      <c r="Z71" s="12">
        <v>4</v>
      </c>
      <c r="AA71" s="12">
        <v>4</v>
      </c>
      <c r="AB71" s="12">
        <v>4</v>
      </c>
      <c r="AC71" s="12">
        <v>2</v>
      </c>
      <c r="AD71" s="12">
        <v>4</v>
      </c>
      <c r="AE71" s="12">
        <v>3</v>
      </c>
      <c r="AF71" s="12">
        <v>4</v>
      </c>
      <c r="AG71" s="12">
        <v>4</v>
      </c>
      <c r="AH71" s="12">
        <v>3</v>
      </c>
      <c r="AI71" s="12">
        <v>4</v>
      </c>
      <c r="AJ71" s="12">
        <v>3</v>
      </c>
      <c r="AK71" s="12">
        <v>4</v>
      </c>
      <c r="AL71" s="12">
        <v>3</v>
      </c>
      <c r="AM71" s="12">
        <v>4</v>
      </c>
      <c r="AN71" s="12">
        <v>4</v>
      </c>
      <c r="AO71" s="12">
        <v>2</v>
      </c>
      <c r="AP71" s="12">
        <v>4</v>
      </c>
      <c r="AQ71" s="12">
        <v>3</v>
      </c>
      <c r="AR71" s="12">
        <v>4</v>
      </c>
      <c r="AS71" s="12">
        <v>3</v>
      </c>
      <c r="AT71" s="12">
        <v>2</v>
      </c>
      <c r="AU71" s="12">
        <v>4</v>
      </c>
      <c r="AV71" s="12">
        <v>3</v>
      </c>
      <c r="AW71" s="12">
        <v>1</v>
      </c>
      <c r="AX71" s="12">
        <v>2</v>
      </c>
      <c r="AY71" s="12">
        <v>4</v>
      </c>
      <c r="AZ71" s="12">
        <v>3</v>
      </c>
      <c r="BA71" s="12">
        <v>4</v>
      </c>
      <c r="BB71" s="12">
        <v>4</v>
      </c>
      <c r="BC71" s="12">
        <v>2</v>
      </c>
      <c r="BD71" s="12">
        <v>4</v>
      </c>
      <c r="BE71" s="12">
        <v>4</v>
      </c>
      <c r="BF71" s="12">
        <v>2</v>
      </c>
      <c r="BG71" s="35">
        <v>3</v>
      </c>
      <c r="BH71" s="35">
        <v>3</v>
      </c>
      <c r="BI71" s="35">
        <v>1</v>
      </c>
      <c r="BJ71" s="35">
        <v>4</v>
      </c>
      <c r="BK71" s="35">
        <v>1</v>
      </c>
      <c r="BL71" s="35">
        <v>4</v>
      </c>
      <c r="BM71" s="35">
        <v>3</v>
      </c>
      <c r="BN71" s="35">
        <v>4</v>
      </c>
      <c r="BO71" s="35">
        <v>4</v>
      </c>
      <c r="BP71" s="38">
        <v>3</v>
      </c>
      <c r="BQ71" s="38">
        <v>2</v>
      </c>
    </row>
    <row r="72" spans="2:69" x14ac:dyDescent="0.25">
      <c r="B72" s="12">
        <v>0</v>
      </c>
      <c r="C72" s="12">
        <v>4</v>
      </c>
      <c r="D72" s="12">
        <v>4</v>
      </c>
      <c r="E72" s="12">
        <v>4</v>
      </c>
      <c r="F72" s="12">
        <v>4</v>
      </c>
      <c r="G72" s="12">
        <v>4</v>
      </c>
      <c r="H72" s="12">
        <v>4</v>
      </c>
      <c r="I72" s="12">
        <v>2</v>
      </c>
      <c r="J72" s="12">
        <v>3</v>
      </c>
      <c r="K72" s="12">
        <v>2</v>
      </c>
      <c r="L72" s="12">
        <v>0</v>
      </c>
      <c r="M72" s="12">
        <v>4</v>
      </c>
      <c r="N72" s="12">
        <v>3</v>
      </c>
      <c r="O72" s="18">
        <v>0</v>
      </c>
      <c r="P72" s="12">
        <v>4</v>
      </c>
      <c r="Q72" s="12">
        <v>4</v>
      </c>
      <c r="R72" s="19">
        <v>4</v>
      </c>
      <c r="S72" s="12">
        <v>4</v>
      </c>
      <c r="T72" s="12">
        <v>4</v>
      </c>
      <c r="U72" s="12">
        <v>4</v>
      </c>
      <c r="V72" s="12">
        <v>3</v>
      </c>
      <c r="W72" s="12">
        <v>4</v>
      </c>
      <c r="X72" s="12">
        <v>2</v>
      </c>
      <c r="Y72" s="12">
        <v>4</v>
      </c>
      <c r="Z72" s="12">
        <v>3</v>
      </c>
      <c r="AA72" s="12">
        <v>3</v>
      </c>
      <c r="AB72" s="12">
        <v>4</v>
      </c>
      <c r="AC72" s="12">
        <v>3</v>
      </c>
      <c r="AD72" s="12">
        <v>4</v>
      </c>
      <c r="AE72" s="12">
        <v>3</v>
      </c>
      <c r="AF72" s="12">
        <v>3</v>
      </c>
      <c r="AG72" s="12">
        <v>4</v>
      </c>
      <c r="AH72" s="12">
        <v>4</v>
      </c>
      <c r="AI72" s="12">
        <v>4</v>
      </c>
      <c r="AJ72" s="12">
        <v>4</v>
      </c>
      <c r="AK72" s="12">
        <v>4</v>
      </c>
      <c r="AL72" s="12">
        <v>4</v>
      </c>
      <c r="AM72" s="12">
        <v>4</v>
      </c>
      <c r="AN72" s="12">
        <v>4</v>
      </c>
      <c r="AO72" s="12">
        <v>3</v>
      </c>
      <c r="AP72" s="12">
        <v>3</v>
      </c>
      <c r="AQ72" s="12">
        <v>4</v>
      </c>
      <c r="AR72" s="12">
        <v>4</v>
      </c>
      <c r="AS72" s="12">
        <v>4</v>
      </c>
      <c r="AT72" s="12">
        <v>3</v>
      </c>
      <c r="AU72" s="12">
        <v>4</v>
      </c>
      <c r="AV72" s="12">
        <v>3</v>
      </c>
      <c r="AW72" s="12">
        <v>0</v>
      </c>
      <c r="AX72" s="12">
        <v>4</v>
      </c>
      <c r="AY72" s="12">
        <v>4</v>
      </c>
      <c r="AZ72" s="12">
        <v>4</v>
      </c>
      <c r="BA72" s="12">
        <v>4</v>
      </c>
      <c r="BB72" s="12">
        <v>4</v>
      </c>
      <c r="BC72" s="12">
        <v>3</v>
      </c>
      <c r="BD72" s="12">
        <v>4</v>
      </c>
      <c r="BE72" s="12">
        <v>4</v>
      </c>
      <c r="BF72" s="12">
        <v>3</v>
      </c>
      <c r="BG72" s="35">
        <v>4</v>
      </c>
      <c r="BH72" s="35">
        <v>4</v>
      </c>
      <c r="BI72" s="35">
        <v>4</v>
      </c>
      <c r="BJ72" s="35">
        <v>4</v>
      </c>
      <c r="BK72" s="35">
        <v>0</v>
      </c>
      <c r="BL72" s="35">
        <v>2</v>
      </c>
      <c r="BM72" s="35">
        <v>3</v>
      </c>
      <c r="BN72" s="35">
        <v>4</v>
      </c>
      <c r="BO72" s="35">
        <v>4</v>
      </c>
      <c r="BP72" s="38">
        <v>3</v>
      </c>
      <c r="BQ72" s="38">
        <v>1</v>
      </c>
    </row>
    <row r="73" spans="2:69" x14ac:dyDescent="0.25">
      <c r="B73" s="12">
        <v>0</v>
      </c>
      <c r="C73" s="12">
        <v>4</v>
      </c>
      <c r="D73" s="12">
        <v>4</v>
      </c>
      <c r="E73" s="12">
        <v>4</v>
      </c>
      <c r="F73" s="12">
        <v>3</v>
      </c>
      <c r="G73" s="12">
        <v>4</v>
      </c>
      <c r="H73" s="12">
        <v>4</v>
      </c>
      <c r="I73" s="12">
        <v>3</v>
      </c>
      <c r="J73" s="12">
        <v>2</v>
      </c>
      <c r="K73" s="12">
        <v>4</v>
      </c>
      <c r="L73" s="12">
        <v>0</v>
      </c>
      <c r="M73" s="12">
        <v>4</v>
      </c>
      <c r="N73" s="12">
        <v>3</v>
      </c>
      <c r="O73" s="18">
        <v>0</v>
      </c>
      <c r="P73" s="12">
        <v>4</v>
      </c>
      <c r="Q73" s="12">
        <v>4</v>
      </c>
      <c r="R73" s="19">
        <v>4</v>
      </c>
      <c r="S73" s="12">
        <v>4</v>
      </c>
      <c r="T73" s="12">
        <v>3</v>
      </c>
      <c r="U73" s="12">
        <v>4</v>
      </c>
      <c r="V73" s="12">
        <v>2</v>
      </c>
      <c r="W73" s="12">
        <v>4</v>
      </c>
      <c r="X73" s="12">
        <v>2</v>
      </c>
      <c r="Y73" s="12">
        <v>4</v>
      </c>
      <c r="Z73" s="12">
        <v>4</v>
      </c>
      <c r="AA73" s="12">
        <v>4</v>
      </c>
      <c r="AB73" s="12">
        <v>4</v>
      </c>
      <c r="AC73" s="12">
        <v>2</v>
      </c>
      <c r="AD73" s="12">
        <v>4</v>
      </c>
      <c r="AE73" s="12">
        <v>3</v>
      </c>
      <c r="AF73" s="12">
        <v>4</v>
      </c>
      <c r="AG73" s="12">
        <v>4</v>
      </c>
      <c r="AH73" s="12">
        <v>4</v>
      </c>
      <c r="AI73" s="12">
        <v>4</v>
      </c>
      <c r="AJ73" s="12">
        <v>4</v>
      </c>
      <c r="AK73" s="12">
        <v>4</v>
      </c>
      <c r="AL73" s="12">
        <v>4</v>
      </c>
      <c r="AM73" s="12">
        <v>4</v>
      </c>
      <c r="AN73" s="12">
        <v>4</v>
      </c>
      <c r="AO73" s="12">
        <v>3</v>
      </c>
      <c r="AP73" s="12">
        <v>4</v>
      </c>
      <c r="AQ73" s="12">
        <v>4</v>
      </c>
      <c r="AR73" s="12">
        <v>4</v>
      </c>
      <c r="AS73" s="12">
        <v>3</v>
      </c>
      <c r="AT73" s="12">
        <v>4</v>
      </c>
      <c r="AU73" s="12">
        <v>4</v>
      </c>
      <c r="AV73" s="12">
        <v>3</v>
      </c>
      <c r="AW73" s="12">
        <v>4</v>
      </c>
      <c r="AX73" s="12">
        <v>4</v>
      </c>
      <c r="AY73" s="12">
        <v>4</v>
      </c>
      <c r="AZ73" s="12">
        <v>4</v>
      </c>
      <c r="BA73" s="12">
        <v>4</v>
      </c>
      <c r="BB73" s="12">
        <v>4</v>
      </c>
      <c r="BC73" s="12">
        <v>4</v>
      </c>
      <c r="BD73" s="12">
        <v>4</v>
      </c>
      <c r="BE73" s="12">
        <v>4</v>
      </c>
      <c r="BF73" s="12">
        <v>3</v>
      </c>
      <c r="BG73" s="35">
        <v>4</v>
      </c>
      <c r="BH73" s="35">
        <v>4</v>
      </c>
      <c r="BI73" s="35">
        <v>4</v>
      </c>
      <c r="BJ73" s="35">
        <v>4</v>
      </c>
      <c r="BK73" s="35">
        <v>4</v>
      </c>
      <c r="BL73" s="35">
        <v>4</v>
      </c>
      <c r="BM73" s="35">
        <v>4</v>
      </c>
      <c r="BN73" s="35">
        <v>4</v>
      </c>
      <c r="BO73" s="35">
        <v>4</v>
      </c>
      <c r="BP73" s="38">
        <v>2</v>
      </c>
      <c r="BQ73" s="38">
        <v>1</v>
      </c>
    </row>
    <row r="74" spans="2:69" x14ac:dyDescent="0.25">
      <c r="B74" s="12">
        <v>3</v>
      </c>
      <c r="C74" s="12">
        <v>4</v>
      </c>
      <c r="D74" s="12">
        <v>4</v>
      </c>
      <c r="E74" s="12">
        <v>4</v>
      </c>
      <c r="F74" s="12">
        <v>3</v>
      </c>
      <c r="G74" s="12">
        <v>4</v>
      </c>
      <c r="H74" s="12">
        <v>4</v>
      </c>
      <c r="I74" s="12">
        <v>2</v>
      </c>
      <c r="J74" s="12">
        <v>2</v>
      </c>
      <c r="K74" s="12">
        <v>4</v>
      </c>
      <c r="L74" s="12">
        <v>4</v>
      </c>
      <c r="M74" s="12">
        <v>4</v>
      </c>
      <c r="N74" s="12">
        <v>3</v>
      </c>
      <c r="O74" s="18">
        <v>0</v>
      </c>
      <c r="P74" s="12">
        <v>4</v>
      </c>
      <c r="Q74" s="12">
        <v>4</v>
      </c>
      <c r="R74" s="19">
        <v>4</v>
      </c>
      <c r="S74" s="12">
        <v>4</v>
      </c>
      <c r="T74" s="12">
        <v>4</v>
      </c>
      <c r="U74" s="12">
        <v>4</v>
      </c>
      <c r="V74" s="12">
        <v>2</v>
      </c>
      <c r="W74" s="12">
        <v>4</v>
      </c>
      <c r="X74" s="12">
        <v>3</v>
      </c>
      <c r="Y74" s="12">
        <v>4</v>
      </c>
      <c r="Z74" s="12">
        <v>4</v>
      </c>
      <c r="AA74" s="12">
        <v>4</v>
      </c>
      <c r="AB74" s="12">
        <v>4</v>
      </c>
      <c r="AC74" s="12">
        <v>1</v>
      </c>
      <c r="AD74" s="12">
        <v>4</v>
      </c>
      <c r="AE74" s="12">
        <v>4</v>
      </c>
      <c r="AF74" s="12">
        <v>4</v>
      </c>
      <c r="AG74" s="12">
        <v>4</v>
      </c>
      <c r="AH74" s="12">
        <v>4</v>
      </c>
      <c r="AI74" s="12">
        <v>4</v>
      </c>
      <c r="AJ74" s="12">
        <v>3</v>
      </c>
      <c r="AK74" s="12">
        <v>4</v>
      </c>
      <c r="AL74" s="12">
        <v>4</v>
      </c>
      <c r="AM74" s="12">
        <v>4</v>
      </c>
      <c r="AN74" s="12">
        <v>4</v>
      </c>
      <c r="AO74" s="12">
        <v>3</v>
      </c>
      <c r="AP74" s="12">
        <v>4</v>
      </c>
      <c r="AQ74" s="12">
        <v>4</v>
      </c>
      <c r="AR74" s="12">
        <v>4</v>
      </c>
      <c r="AS74" s="12">
        <v>3</v>
      </c>
      <c r="AT74" s="12">
        <v>3</v>
      </c>
      <c r="AU74" s="12">
        <v>4</v>
      </c>
      <c r="AV74" s="12">
        <v>3</v>
      </c>
      <c r="AW74" s="12">
        <v>3</v>
      </c>
      <c r="AX74" s="12">
        <v>3</v>
      </c>
      <c r="AY74" s="12">
        <v>4</v>
      </c>
      <c r="AZ74" s="12">
        <v>4</v>
      </c>
      <c r="BA74" s="12">
        <v>4</v>
      </c>
      <c r="BB74" s="12">
        <v>3</v>
      </c>
      <c r="BC74" s="12">
        <v>2</v>
      </c>
      <c r="BD74" s="12">
        <v>4</v>
      </c>
      <c r="BE74" s="12">
        <v>4</v>
      </c>
      <c r="BF74" s="12">
        <v>3</v>
      </c>
      <c r="BG74" s="35">
        <v>2</v>
      </c>
      <c r="BH74" s="35">
        <v>4</v>
      </c>
      <c r="BI74" s="35">
        <v>3</v>
      </c>
      <c r="BJ74" s="35">
        <v>4</v>
      </c>
      <c r="BK74" s="35">
        <v>3</v>
      </c>
      <c r="BL74" s="35">
        <v>4</v>
      </c>
      <c r="BM74" s="35">
        <v>4</v>
      </c>
      <c r="BN74" s="35">
        <v>4</v>
      </c>
      <c r="BO74" s="35">
        <v>4</v>
      </c>
      <c r="BP74" s="38">
        <v>3</v>
      </c>
      <c r="BQ74" s="38">
        <v>1</v>
      </c>
    </row>
    <row r="75" spans="2:69" x14ac:dyDescent="0.25">
      <c r="B75" s="12">
        <v>1</v>
      </c>
      <c r="C75" s="12">
        <v>4</v>
      </c>
      <c r="D75" s="12">
        <v>4</v>
      </c>
      <c r="E75" s="12">
        <v>4</v>
      </c>
      <c r="F75" s="12">
        <v>4</v>
      </c>
      <c r="G75" s="12">
        <v>4</v>
      </c>
      <c r="H75" s="12">
        <v>4</v>
      </c>
      <c r="I75" s="12">
        <v>3</v>
      </c>
      <c r="J75" s="12">
        <v>3</v>
      </c>
      <c r="K75" s="12">
        <v>4</v>
      </c>
      <c r="L75" s="12">
        <v>3</v>
      </c>
      <c r="M75" s="12">
        <v>4</v>
      </c>
      <c r="N75" s="12">
        <v>4</v>
      </c>
      <c r="O75" s="18">
        <v>0</v>
      </c>
      <c r="P75" s="12">
        <v>4</v>
      </c>
      <c r="Q75" s="12">
        <v>4</v>
      </c>
      <c r="R75" s="19">
        <v>4</v>
      </c>
      <c r="S75" s="12">
        <v>4</v>
      </c>
      <c r="T75" s="12">
        <v>4</v>
      </c>
      <c r="U75" s="12">
        <v>4</v>
      </c>
      <c r="V75" s="12">
        <v>4</v>
      </c>
      <c r="W75" s="12">
        <v>4</v>
      </c>
      <c r="X75" s="12">
        <v>3</v>
      </c>
      <c r="Y75" s="12">
        <v>4</v>
      </c>
      <c r="Z75" s="12">
        <v>4</v>
      </c>
      <c r="AA75" s="12">
        <v>4</v>
      </c>
      <c r="AB75" s="12">
        <v>2</v>
      </c>
      <c r="AC75" s="12">
        <v>2</v>
      </c>
      <c r="AD75" s="12">
        <v>4</v>
      </c>
      <c r="AE75" s="12">
        <v>4</v>
      </c>
      <c r="AF75" s="12">
        <v>4</v>
      </c>
      <c r="AG75" s="12">
        <v>4</v>
      </c>
      <c r="AH75" s="12">
        <v>3</v>
      </c>
      <c r="AI75" s="12">
        <v>4</v>
      </c>
      <c r="AJ75" s="12">
        <v>3</v>
      </c>
      <c r="AK75" s="12">
        <v>4</v>
      </c>
      <c r="AL75" s="12">
        <v>4</v>
      </c>
      <c r="AM75" s="12">
        <v>4</v>
      </c>
      <c r="AN75" s="12">
        <v>4</v>
      </c>
      <c r="AO75" s="12">
        <v>3</v>
      </c>
      <c r="AP75" s="12">
        <v>4</v>
      </c>
      <c r="AQ75" s="12">
        <v>4</v>
      </c>
      <c r="AR75" s="12">
        <v>4</v>
      </c>
      <c r="AS75" s="12">
        <v>4</v>
      </c>
      <c r="AT75" s="12">
        <v>3</v>
      </c>
      <c r="AU75" s="12">
        <v>4</v>
      </c>
      <c r="AV75" s="12">
        <v>3</v>
      </c>
      <c r="AW75" s="12">
        <v>3</v>
      </c>
      <c r="AX75" s="12">
        <v>4</v>
      </c>
      <c r="AY75" s="12">
        <v>4</v>
      </c>
      <c r="AZ75" s="12">
        <v>4</v>
      </c>
      <c r="BA75" s="12">
        <v>4</v>
      </c>
      <c r="BB75" s="12">
        <v>4</v>
      </c>
      <c r="BC75" s="12">
        <v>3</v>
      </c>
      <c r="BD75" s="12">
        <v>4</v>
      </c>
      <c r="BE75" s="12">
        <v>4</v>
      </c>
      <c r="BF75" s="12">
        <v>3</v>
      </c>
      <c r="BG75" s="35">
        <v>3</v>
      </c>
      <c r="BH75" s="35">
        <v>4</v>
      </c>
      <c r="BI75" s="35">
        <v>3</v>
      </c>
      <c r="BJ75" s="35">
        <v>4</v>
      </c>
      <c r="BK75" s="35">
        <v>3</v>
      </c>
      <c r="BL75" s="35">
        <v>4</v>
      </c>
      <c r="BM75" s="35">
        <v>3</v>
      </c>
      <c r="BN75" s="35">
        <v>4</v>
      </c>
      <c r="BO75" s="35">
        <v>4</v>
      </c>
      <c r="BP75" s="38">
        <v>3</v>
      </c>
      <c r="BQ75" s="38">
        <v>4</v>
      </c>
    </row>
    <row r="76" spans="2:69" x14ac:dyDescent="0.25">
      <c r="B76" s="12">
        <v>1</v>
      </c>
      <c r="C76" s="12">
        <v>3</v>
      </c>
      <c r="D76" s="12">
        <v>4</v>
      </c>
      <c r="E76" s="12">
        <v>4</v>
      </c>
      <c r="F76" s="12">
        <v>4</v>
      </c>
      <c r="G76" s="12">
        <v>4</v>
      </c>
      <c r="H76" s="12">
        <v>4</v>
      </c>
      <c r="I76" s="12">
        <v>2</v>
      </c>
      <c r="J76" s="12">
        <v>3</v>
      </c>
      <c r="K76" s="12">
        <v>4</v>
      </c>
      <c r="L76" s="12">
        <v>4</v>
      </c>
      <c r="M76" s="12">
        <v>4</v>
      </c>
      <c r="N76" s="12">
        <v>3</v>
      </c>
      <c r="O76" s="18">
        <v>0</v>
      </c>
      <c r="P76" s="12">
        <v>4</v>
      </c>
      <c r="Q76" s="12">
        <v>3</v>
      </c>
      <c r="R76" s="19">
        <v>4</v>
      </c>
      <c r="S76" s="12">
        <v>4</v>
      </c>
      <c r="T76" s="12">
        <v>4</v>
      </c>
      <c r="U76" s="12">
        <v>4</v>
      </c>
      <c r="V76" s="12">
        <v>3</v>
      </c>
      <c r="W76" s="12">
        <v>4</v>
      </c>
      <c r="X76" s="12">
        <v>3</v>
      </c>
      <c r="Y76" s="12">
        <v>4</v>
      </c>
      <c r="Z76" s="12">
        <v>3</v>
      </c>
      <c r="AA76" s="12">
        <v>1</v>
      </c>
      <c r="AB76" s="12">
        <v>2</v>
      </c>
      <c r="AC76" s="12">
        <v>2</v>
      </c>
      <c r="AD76" s="12">
        <v>4</v>
      </c>
      <c r="AE76" s="12">
        <v>3</v>
      </c>
      <c r="AF76" s="12">
        <v>3</v>
      </c>
      <c r="AG76" s="12">
        <v>4</v>
      </c>
      <c r="AH76" s="12">
        <v>4</v>
      </c>
      <c r="AI76" s="12">
        <v>3</v>
      </c>
      <c r="AJ76" s="12">
        <v>4</v>
      </c>
      <c r="AK76" s="12">
        <v>4</v>
      </c>
      <c r="AL76" s="12">
        <v>4</v>
      </c>
      <c r="AM76" s="12">
        <v>4</v>
      </c>
      <c r="AN76" s="12">
        <v>4</v>
      </c>
      <c r="AO76" s="12">
        <v>3</v>
      </c>
      <c r="AP76" s="12">
        <v>4</v>
      </c>
      <c r="AQ76" s="12">
        <v>4</v>
      </c>
      <c r="AR76" s="12">
        <v>4</v>
      </c>
      <c r="AS76" s="12">
        <v>3</v>
      </c>
      <c r="AT76" s="12">
        <v>2</v>
      </c>
      <c r="AU76" s="12">
        <v>4</v>
      </c>
      <c r="AV76" s="12">
        <v>3</v>
      </c>
      <c r="AW76" s="12">
        <v>2</v>
      </c>
      <c r="AX76" s="12">
        <v>2</v>
      </c>
      <c r="AY76" s="12">
        <v>4</v>
      </c>
      <c r="AZ76" s="12">
        <v>4</v>
      </c>
      <c r="BA76" s="12">
        <v>4</v>
      </c>
      <c r="BB76" s="12">
        <v>4</v>
      </c>
      <c r="BC76" s="12">
        <v>1</v>
      </c>
      <c r="BD76" s="12">
        <v>2</v>
      </c>
      <c r="BE76" s="12">
        <v>4</v>
      </c>
      <c r="BF76" s="12">
        <v>3</v>
      </c>
      <c r="BG76" s="35">
        <v>1</v>
      </c>
      <c r="BH76" s="35">
        <v>3</v>
      </c>
      <c r="BI76" s="35">
        <v>3</v>
      </c>
      <c r="BJ76" s="35">
        <v>3</v>
      </c>
      <c r="BK76" s="35">
        <v>2</v>
      </c>
      <c r="BL76" s="35">
        <v>3</v>
      </c>
      <c r="BM76" s="35">
        <v>1</v>
      </c>
      <c r="BN76" s="35">
        <v>4</v>
      </c>
      <c r="BO76" s="35">
        <v>4</v>
      </c>
      <c r="BP76" s="38">
        <v>3</v>
      </c>
      <c r="BQ76" s="38">
        <v>2</v>
      </c>
    </row>
    <row r="77" spans="2:69" x14ac:dyDescent="0.25">
      <c r="B77" s="12">
        <v>1</v>
      </c>
      <c r="C77" s="12">
        <v>4</v>
      </c>
      <c r="D77" s="12">
        <v>3</v>
      </c>
      <c r="E77" s="12">
        <v>4</v>
      </c>
      <c r="F77" s="12">
        <v>4</v>
      </c>
      <c r="G77" s="12">
        <v>3</v>
      </c>
      <c r="H77" s="12">
        <v>4</v>
      </c>
      <c r="I77" s="12">
        <v>3</v>
      </c>
      <c r="J77" s="12">
        <v>2</v>
      </c>
      <c r="K77" s="12">
        <v>4</v>
      </c>
      <c r="L77" s="12">
        <v>4</v>
      </c>
      <c r="M77" s="12">
        <v>3</v>
      </c>
      <c r="N77" s="12">
        <v>3</v>
      </c>
      <c r="O77" s="18">
        <v>0</v>
      </c>
      <c r="P77" s="12">
        <v>4</v>
      </c>
      <c r="Q77" s="12">
        <v>3</v>
      </c>
      <c r="R77" s="19">
        <v>4</v>
      </c>
      <c r="S77" s="12">
        <v>4</v>
      </c>
      <c r="T77" s="12">
        <v>4</v>
      </c>
      <c r="U77" s="12">
        <v>4</v>
      </c>
      <c r="V77" s="12">
        <v>4</v>
      </c>
      <c r="W77" s="12">
        <v>4</v>
      </c>
      <c r="X77" s="12">
        <v>4</v>
      </c>
      <c r="Y77" s="12">
        <v>4</v>
      </c>
      <c r="Z77" s="12">
        <v>3</v>
      </c>
      <c r="AA77" s="12">
        <v>3</v>
      </c>
      <c r="AB77" s="12">
        <v>3</v>
      </c>
      <c r="AC77" s="12">
        <v>2</v>
      </c>
      <c r="AD77" s="12">
        <v>4</v>
      </c>
      <c r="AE77" s="12">
        <v>3</v>
      </c>
      <c r="AF77" s="12">
        <v>4</v>
      </c>
      <c r="AG77" s="12">
        <v>4</v>
      </c>
      <c r="AH77" s="12">
        <v>4</v>
      </c>
      <c r="AI77" s="12">
        <v>4</v>
      </c>
      <c r="AJ77" s="12">
        <v>4</v>
      </c>
      <c r="AK77" s="12">
        <v>4</v>
      </c>
      <c r="AL77" s="12">
        <v>4</v>
      </c>
      <c r="AM77" s="12">
        <v>3</v>
      </c>
      <c r="AN77" s="12">
        <v>4</v>
      </c>
      <c r="AO77" s="12">
        <v>2</v>
      </c>
      <c r="AP77" s="12">
        <v>4</v>
      </c>
      <c r="AQ77" s="12">
        <v>3</v>
      </c>
      <c r="AR77" s="12">
        <v>4</v>
      </c>
      <c r="AS77" s="12">
        <v>4</v>
      </c>
      <c r="AT77" s="12">
        <v>3</v>
      </c>
      <c r="AU77" s="12">
        <v>4</v>
      </c>
      <c r="AV77" s="12">
        <v>3</v>
      </c>
      <c r="AW77" s="12">
        <v>1</v>
      </c>
      <c r="AX77" s="12">
        <v>4</v>
      </c>
      <c r="AY77" s="12">
        <v>4</v>
      </c>
      <c r="AZ77" s="12">
        <v>3</v>
      </c>
      <c r="BA77" s="12">
        <v>4</v>
      </c>
      <c r="BB77" s="12">
        <v>4</v>
      </c>
      <c r="BC77" s="12">
        <v>3</v>
      </c>
      <c r="BD77" s="12">
        <v>4</v>
      </c>
      <c r="BE77" s="12">
        <v>4</v>
      </c>
      <c r="BF77" s="12">
        <v>3</v>
      </c>
      <c r="BG77" s="35">
        <v>1</v>
      </c>
      <c r="BH77" s="35">
        <v>2</v>
      </c>
      <c r="BI77" s="35">
        <v>3</v>
      </c>
      <c r="BJ77" s="35">
        <v>3</v>
      </c>
      <c r="BK77" s="35">
        <v>1</v>
      </c>
      <c r="BL77" s="35">
        <v>3</v>
      </c>
      <c r="BM77" s="35">
        <v>3</v>
      </c>
      <c r="BN77" s="35">
        <v>4</v>
      </c>
      <c r="BO77" s="35">
        <v>4</v>
      </c>
      <c r="BP77" s="38">
        <v>2</v>
      </c>
      <c r="BQ77" s="38">
        <v>1</v>
      </c>
    </row>
    <row r="78" spans="2:69" x14ac:dyDescent="0.25">
      <c r="B78" s="12">
        <v>2</v>
      </c>
      <c r="C78" s="12">
        <v>4</v>
      </c>
      <c r="D78" s="12">
        <v>3</v>
      </c>
      <c r="E78" s="12">
        <v>4</v>
      </c>
      <c r="F78" s="12">
        <v>4</v>
      </c>
      <c r="G78" s="12">
        <v>4</v>
      </c>
      <c r="H78" s="12">
        <v>4</v>
      </c>
      <c r="I78" s="12">
        <v>3</v>
      </c>
      <c r="J78" s="12">
        <v>2</v>
      </c>
      <c r="K78" s="12">
        <v>4</v>
      </c>
      <c r="L78" s="12">
        <v>4</v>
      </c>
      <c r="M78" s="12">
        <v>3</v>
      </c>
      <c r="N78" s="12">
        <v>4</v>
      </c>
      <c r="O78" s="18">
        <v>0</v>
      </c>
      <c r="P78" s="12">
        <v>4</v>
      </c>
      <c r="Q78" s="12">
        <v>3</v>
      </c>
      <c r="R78" s="19">
        <v>4</v>
      </c>
      <c r="S78" s="12">
        <v>3</v>
      </c>
      <c r="T78" s="12">
        <v>4</v>
      </c>
      <c r="U78" s="12">
        <v>4</v>
      </c>
      <c r="V78" s="12">
        <v>1</v>
      </c>
      <c r="W78" s="12">
        <v>4</v>
      </c>
      <c r="X78" s="12">
        <v>3</v>
      </c>
      <c r="Y78" s="12">
        <v>4</v>
      </c>
      <c r="Z78" s="12">
        <v>2</v>
      </c>
      <c r="AA78" s="12">
        <v>4</v>
      </c>
      <c r="AB78" s="12">
        <v>3</v>
      </c>
      <c r="AC78" s="12">
        <v>3</v>
      </c>
      <c r="AD78" s="12">
        <v>3</v>
      </c>
      <c r="AE78" s="12">
        <v>3</v>
      </c>
      <c r="AF78" s="12">
        <v>3</v>
      </c>
      <c r="AG78" s="12">
        <v>4</v>
      </c>
      <c r="AH78" s="12">
        <v>4</v>
      </c>
      <c r="AI78" s="12">
        <v>4</v>
      </c>
      <c r="AJ78" s="12">
        <v>3</v>
      </c>
      <c r="AK78" s="12">
        <v>3</v>
      </c>
      <c r="AL78" s="12">
        <v>4</v>
      </c>
      <c r="AM78" s="12">
        <v>4</v>
      </c>
      <c r="AN78" s="12">
        <v>4</v>
      </c>
      <c r="AO78" s="12">
        <v>3</v>
      </c>
      <c r="AP78" s="12">
        <v>4</v>
      </c>
      <c r="AQ78" s="12">
        <v>4</v>
      </c>
      <c r="AR78" s="12">
        <v>4</v>
      </c>
      <c r="AS78" s="12">
        <v>3</v>
      </c>
      <c r="AT78" s="12">
        <v>2</v>
      </c>
      <c r="AU78" s="12">
        <v>4</v>
      </c>
      <c r="AV78" s="12">
        <v>3</v>
      </c>
      <c r="AW78" s="12">
        <v>2</v>
      </c>
      <c r="AX78" s="12">
        <v>3</v>
      </c>
      <c r="AY78" s="12">
        <v>4</v>
      </c>
      <c r="AZ78" s="12">
        <v>4</v>
      </c>
      <c r="BA78" s="12">
        <v>4</v>
      </c>
      <c r="BB78" s="12">
        <v>3</v>
      </c>
      <c r="BC78" s="12">
        <v>2</v>
      </c>
      <c r="BD78" s="12">
        <v>3</v>
      </c>
      <c r="BE78" s="12">
        <v>4</v>
      </c>
      <c r="BF78" s="12">
        <v>3</v>
      </c>
      <c r="BG78" s="35">
        <v>2</v>
      </c>
      <c r="BH78" s="35">
        <v>3</v>
      </c>
      <c r="BI78" s="35">
        <v>3</v>
      </c>
      <c r="BJ78" s="35">
        <v>4</v>
      </c>
      <c r="BK78" s="35">
        <v>2</v>
      </c>
      <c r="BL78" s="35">
        <v>3</v>
      </c>
      <c r="BM78" s="35">
        <v>4</v>
      </c>
      <c r="BN78" s="35">
        <v>4</v>
      </c>
      <c r="BO78" s="35">
        <v>4</v>
      </c>
      <c r="BP78" s="38">
        <v>3</v>
      </c>
      <c r="BQ78" s="38">
        <v>3</v>
      </c>
    </row>
    <row r="79" spans="2:69" x14ac:dyDescent="0.25">
      <c r="B79" s="12">
        <v>1</v>
      </c>
      <c r="C79" s="12">
        <v>4</v>
      </c>
      <c r="D79" s="12">
        <v>3</v>
      </c>
      <c r="E79" s="12">
        <v>4</v>
      </c>
      <c r="F79" s="12">
        <v>4</v>
      </c>
      <c r="G79" s="12">
        <v>3</v>
      </c>
      <c r="H79" s="12">
        <v>4</v>
      </c>
      <c r="I79" s="12">
        <v>2</v>
      </c>
      <c r="J79" s="12">
        <v>2</v>
      </c>
      <c r="K79" s="12">
        <v>4</v>
      </c>
      <c r="L79" s="12">
        <v>4</v>
      </c>
      <c r="M79" s="12">
        <v>4</v>
      </c>
      <c r="N79" s="12">
        <v>3</v>
      </c>
      <c r="O79" s="18">
        <v>0</v>
      </c>
      <c r="P79" s="12">
        <v>4</v>
      </c>
      <c r="Q79" s="12">
        <v>3</v>
      </c>
      <c r="R79" s="19">
        <v>4</v>
      </c>
      <c r="S79" s="12">
        <v>4</v>
      </c>
      <c r="T79" s="12">
        <v>4</v>
      </c>
      <c r="U79" s="12">
        <v>4</v>
      </c>
      <c r="V79" s="12">
        <v>3</v>
      </c>
      <c r="W79" s="12">
        <v>4</v>
      </c>
      <c r="X79" s="12">
        <v>2</v>
      </c>
      <c r="Y79" s="12">
        <v>4</v>
      </c>
      <c r="Z79" s="12">
        <v>4</v>
      </c>
      <c r="AA79" s="12">
        <v>3</v>
      </c>
      <c r="AB79" s="12">
        <v>3</v>
      </c>
      <c r="AC79" s="12">
        <v>2</v>
      </c>
      <c r="AD79" s="12">
        <v>4</v>
      </c>
      <c r="AE79" s="12">
        <v>3</v>
      </c>
      <c r="AF79" s="12">
        <v>4</v>
      </c>
      <c r="AG79" s="12">
        <v>2</v>
      </c>
      <c r="AH79" s="12">
        <v>4</v>
      </c>
      <c r="AI79" s="12">
        <v>4</v>
      </c>
      <c r="AJ79" s="12">
        <v>3</v>
      </c>
      <c r="AK79" s="12">
        <v>3</v>
      </c>
      <c r="AL79" s="12">
        <v>4</v>
      </c>
      <c r="AM79" s="12">
        <v>4</v>
      </c>
      <c r="AN79" s="12">
        <v>4</v>
      </c>
      <c r="AO79" s="12">
        <v>2</v>
      </c>
      <c r="AP79" s="12">
        <v>4</v>
      </c>
      <c r="AQ79" s="12">
        <v>3</v>
      </c>
      <c r="AR79" s="12">
        <v>4</v>
      </c>
      <c r="AS79" s="12">
        <v>3</v>
      </c>
      <c r="AT79" s="12">
        <v>3</v>
      </c>
      <c r="AU79" s="12">
        <v>4</v>
      </c>
      <c r="AV79" s="12">
        <v>3</v>
      </c>
      <c r="AW79" s="12">
        <v>2</v>
      </c>
      <c r="AX79" s="12">
        <v>3</v>
      </c>
      <c r="AY79" s="12">
        <v>4</v>
      </c>
      <c r="AZ79" s="12">
        <v>4</v>
      </c>
      <c r="BA79" s="12">
        <v>4</v>
      </c>
      <c r="BB79" s="12">
        <v>3</v>
      </c>
      <c r="BC79" s="12">
        <v>2</v>
      </c>
      <c r="BD79" s="12">
        <v>3</v>
      </c>
      <c r="BE79" s="12">
        <v>4</v>
      </c>
      <c r="BF79" s="12">
        <v>2</v>
      </c>
      <c r="BG79" s="35">
        <v>2</v>
      </c>
      <c r="BH79" s="35">
        <v>2</v>
      </c>
      <c r="BI79" s="35">
        <v>3</v>
      </c>
      <c r="BJ79" s="35">
        <v>4</v>
      </c>
      <c r="BK79" s="35">
        <v>2</v>
      </c>
      <c r="BL79" s="35">
        <v>3</v>
      </c>
      <c r="BM79" s="35">
        <v>4</v>
      </c>
      <c r="BN79" s="35">
        <v>4</v>
      </c>
      <c r="BO79" s="35">
        <v>4</v>
      </c>
      <c r="BP79" s="38">
        <v>2</v>
      </c>
      <c r="BQ79" s="38">
        <v>3</v>
      </c>
    </row>
    <row r="80" spans="2:69" x14ac:dyDescent="0.25">
      <c r="B80" s="12">
        <v>3</v>
      </c>
      <c r="C80" s="12">
        <v>2</v>
      </c>
      <c r="D80" s="12">
        <v>2</v>
      </c>
      <c r="E80" s="12">
        <v>4</v>
      </c>
      <c r="F80" s="12">
        <v>4</v>
      </c>
      <c r="G80" s="12">
        <v>4</v>
      </c>
      <c r="H80" s="12">
        <v>4</v>
      </c>
      <c r="I80" s="12">
        <v>3</v>
      </c>
      <c r="J80" s="12">
        <v>2</v>
      </c>
      <c r="K80" s="12">
        <v>4</v>
      </c>
      <c r="L80" s="12">
        <v>3</v>
      </c>
      <c r="M80" s="12">
        <v>4</v>
      </c>
      <c r="N80" s="12">
        <v>3</v>
      </c>
      <c r="O80" s="18">
        <v>0</v>
      </c>
      <c r="P80" s="12">
        <v>3</v>
      </c>
      <c r="Q80" s="12">
        <v>3</v>
      </c>
      <c r="R80" s="19">
        <v>4</v>
      </c>
      <c r="S80" s="12">
        <v>4</v>
      </c>
      <c r="T80" s="12">
        <v>4</v>
      </c>
      <c r="U80" s="12">
        <v>4</v>
      </c>
      <c r="V80" s="12">
        <v>4</v>
      </c>
      <c r="W80" s="12">
        <v>4</v>
      </c>
      <c r="X80" s="12">
        <v>3</v>
      </c>
      <c r="Y80" s="12">
        <v>1</v>
      </c>
      <c r="Z80" s="12">
        <v>4</v>
      </c>
      <c r="AA80" s="12">
        <v>1</v>
      </c>
      <c r="AB80" s="12">
        <v>1</v>
      </c>
      <c r="AC80" s="12">
        <v>2</v>
      </c>
      <c r="AD80" s="12">
        <v>4</v>
      </c>
      <c r="AE80" s="12">
        <v>3</v>
      </c>
      <c r="AF80" s="12">
        <v>3</v>
      </c>
      <c r="AG80" s="12">
        <v>1</v>
      </c>
      <c r="AH80" s="12">
        <v>3</v>
      </c>
      <c r="AI80" s="12">
        <v>3</v>
      </c>
      <c r="AJ80" s="12">
        <v>2</v>
      </c>
      <c r="AK80" s="12">
        <v>4</v>
      </c>
      <c r="AL80" s="12">
        <v>4</v>
      </c>
      <c r="AM80" s="12">
        <v>4</v>
      </c>
      <c r="AN80" s="12">
        <v>4</v>
      </c>
      <c r="AO80" s="12">
        <v>2</v>
      </c>
      <c r="AP80" s="12">
        <v>4</v>
      </c>
      <c r="AQ80" s="12">
        <v>4</v>
      </c>
      <c r="AR80" s="12">
        <v>4</v>
      </c>
      <c r="AS80" s="12">
        <v>4</v>
      </c>
      <c r="AT80" s="12">
        <v>3</v>
      </c>
      <c r="AU80" s="12">
        <v>4</v>
      </c>
      <c r="AV80" s="12">
        <v>3</v>
      </c>
      <c r="AW80" s="12">
        <v>2</v>
      </c>
      <c r="AX80" s="12">
        <v>2</v>
      </c>
      <c r="AY80" s="12">
        <v>3</v>
      </c>
      <c r="AZ80" s="12">
        <v>2</v>
      </c>
      <c r="BA80" s="12">
        <v>4</v>
      </c>
      <c r="BB80" s="12">
        <v>3</v>
      </c>
      <c r="BC80" s="12">
        <v>3</v>
      </c>
      <c r="BD80" s="12">
        <v>3</v>
      </c>
      <c r="BE80" s="12">
        <v>2</v>
      </c>
      <c r="BF80" s="12">
        <v>2</v>
      </c>
      <c r="BG80" s="35">
        <v>3</v>
      </c>
      <c r="BH80" s="35">
        <v>2</v>
      </c>
      <c r="BI80" s="35">
        <v>2</v>
      </c>
      <c r="BJ80" s="35">
        <v>4</v>
      </c>
      <c r="BK80" s="35">
        <v>2</v>
      </c>
      <c r="BL80" s="35">
        <v>3</v>
      </c>
      <c r="BM80" s="35">
        <v>4</v>
      </c>
      <c r="BN80" s="35">
        <v>3</v>
      </c>
      <c r="BO80" s="35">
        <v>3</v>
      </c>
      <c r="BP80" s="38">
        <v>2</v>
      </c>
      <c r="BQ80" s="38">
        <v>1</v>
      </c>
    </row>
    <row r="81" spans="2:69" x14ac:dyDescent="0.25">
      <c r="B81" s="12">
        <v>4</v>
      </c>
      <c r="C81" s="12">
        <v>4</v>
      </c>
      <c r="D81" s="12">
        <v>3</v>
      </c>
      <c r="E81" s="12">
        <v>4</v>
      </c>
      <c r="F81" s="12">
        <v>4</v>
      </c>
      <c r="G81" s="12">
        <v>4</v>
      </c>
      <c r="H81" s="12">
        <v>4</v>
      </c>
      <c r="I81" s="12">
        <v>3</v>
      </c>
      <c r="J81" s="12">
        <v>2</v>
      </c>
      <c r="K81" s="12">
        <v>4</v>
      </c>
      <c r="L81" s="12">
        <v>4</v>
      </c>
      <c r="M81" s="12">
        <v>4</v>
      </c>
      <c r="N81" s="12">
        <v>3</v>
      </c>
      <c r="O81" s="18">
        <v>0</v>
      </c>
      <c r="P81" s="12">
        <v>3</v>
      </c>
      <c r="Q81" s="12">
        <v>3</v>
      </c>
      <c r="R81" s="19">
        <v>4</v>
      </c>
      <c r="S81" s="12">
        <v>4</v>
      </c>
      <c r="T81" s="12">
        <v>3</v>
      </c>
      <c r="U81" s="12">
        <v>4</v>
      </c>
      <c r="V81" s="12">
        <v>4</v>
      </c>
      <c r="W81" s="12">
        <v>4</v>
      </c>
      <c r="X81" s="12">
        <v>2</v>
      </c>
      <c r="Y81" s="12">
        <v>4</v>
      </c>
      <c r="Z81" s="12">
        <v>3</v>
      </c>
      <c r="AA81" s="12">
        <v>4</v>
      </c>
      <c r="AB81" s="12">
        <v>1</v>
      </c>
      <c r="AC81" s="12">
        <v>3</v>
      </c>
      <c r="AD81" s="12">
        <v>4</v>
      </c>
      <c r="AE81" s="12">
        <v>3</v>
      </c>
      <c r="AF81" s="12">
        <v>4</v>
      </c>
      <c r="AG81" s="12">
        <v>4</v>
      </c>
      <c r="AH81" s="12">
        <v>4</v>
      </c>
      <c r="AI81" s="12">
        <v>4</v>
      </c>
      <c r="AJ81" s="12">
        <v>3</v>
      </c>
      <c r="AK81" s="12">
        <v>4</v>
      </c>
      <c r="AL81" s="12">
        <v>3</v>
      </c>
      <c r="AM81" s="12">
        <v>4</v>
      </c>
      <c r="AN81" s="12">
        <v>4</v>
      </c>
      <c r="AO81" s="12">
        <v>2</v>
      </c>
      <c r="AP81" s="12">
        <v>4</v>
      </c>
      <c r="AQ81" s="12">
        <v>3</v>
      </c>
      <c r="AR81" s="12">
        <v>3</v>
      </c>
      <c r="AS81" s="12">
        <v>3</v>
      </c>
      <c r="AT81" s="12">
        <v>3</v>
      </c>
      <c r="AU81" s="12">
        <v>4</v>
      </c>
      <c r="AV81" s="12">
        <v>3</v>
      </c>
      <c r="AW81" s="12">
        <v>3</v>
      </c>
      <c r="AX81" s="12">
        <v>4</v>
      </c>
      <c r="AY81" s="12">
        <v>3</v>
      </c>
      <c r="AZ81" s="12">
        <v>3</v>
      </c>
      <c r="BA81" s="12">
        <v>4</v>
      </c>
      <c r="BB81" s="12">
        <v>2</v>
      </c>
      <c r="BC81" s="12">
        <v>3</v>
      </c>
      <c r="BD81" s="12">
        <v>1</v>
      </c>
      <c r="BE81" s="12">
        <v>3</v>
      </c>
      <c r="BF81" s="12">
        <v>3</v>
      </c>
      <c r="BG81" s="35">
        <v>4</v>
      </c>
      <c r="BH81" s="35">
        <v>3</v>
      </c>
      <c r="BI81" s="35">
        <v>1</v>
      </c>
      <c r="BJ81" s="35">
        <v>4</v>
      </c>
      <c r="BK81" s="35">
        <v>3</v>
      </c>
      <c r="BL81" s="35">
        <v>3</v>
      </c>
      <c r="BM81" s="35">
        <v>2</v>
      </c>
      <c r="BN81" s="35">
        <v>4</v>
      </c>
      <c r="BO81" s="35">
        <v>4</v>
      </c>
      <c r="BP81" s="38">
        <v>2</v>
      </c>
      <c r="BQ81" s="38">
        <v>3</v>
      </c>
    </row>
    <row r="82" spans="2:69" x14ac:dyDescent="0.25">
      <c r="B82" s="12">
        <v>0</v>
      </c>
      <c r="C82" s="12">
        <v>1</v>
      </c>
      <c r="D82" s="12">
        <v>1</v>
      </c>
      <c r="E82" s="12">
        <v>4</v>
      </c>
      <c r="F82" s="12">
        <v>4</v>
      </c>
      <c r="G82" s="12">
        <v>2</v>
      </c>
      <c r="H82" s="12">
        <v>4</v>
      </c>
      <c r="I82" s="12">
        <v>3</v>
      </c>
      <c r="J82" s="12">
        <v>2</v>
      </c>
      <c r="K82" s="12">
        <v>4</v>
      </c>
      <c r="L82" s="12">
        <v>4</v>
      </c>
      <c r="M82" s="12">
        <v>4</v>
      </c>
      <c r="N82" s="12">
        <v>2</v>
      </c>
      <c r="O82" s="18">
        <v>0</v>
      </c>
      <c r="P82" s="12">
        <v>1</v>
      </c>
      <c r="Q82" s="12">
        <v>1</v>
      </c>
      <c r="R82" s="19">
        <v>4</v>
      </c>
      <c r="S82" s="12">
        <v>4</v>
      </c>
      <c r="T82" s="12">
        <v>3</v>
      </c>
      <c r="U82" s="12">
        <v>4</v>
      </c>
      <c r="V82" s="12">
        <v>0</v>
      </c>
      <c r="W82" s="12">
        <v>4</v>
      </c>
      <c r="X82" s="12">
        <v>2</v>
      </c>
      <c r="Y82" s="12">
        <v>0</v>
      </c>
      <c r="Z82" s="12">
        <v>3</v>
      </c>
      <c r="AA82" s="12">
        <v>0</v>
      </c>
      <c r="AB82" s="12">
        <v>3</v>
      </c>
      <c r="AC82" s="12">
        <v>3</v>
      </c>
      <c r="AD82" s="12">
        <v>4</v>
      </c>
      <c r="AE82" s="12">
        <v>3</v>
      </c>
      <c r="AF82" s="12">
        <v>4</v>
      </c>
      <c r="AG82" s="12">
        <v>3</v>
      </c>
      <c r="AH82" s="12">
        <v>3</v>
      </c>
      <c r="AI82" s="12">
        <v>2</v>
      </c>
      <c r="AJ82" s="12">
        <v>1</v>
      </c>
      <c r="AK82" s="12">
        <v>3</v>
      </c>
      <c r="AL82" s="12">
        <v>2</v>
      </c>
      <c r="AM82" s="12">
        <v>4</v>
      </c>
      <c r="AN82" s="12">
        <v>2</v>
      </c>
      <c r="AO82" s="12">
        <v>3</v>
      </c>
      <c r="AP82" s="12">
        <v>4</v>
      </c>
      <c r="AQ82" s="12">
        <v>2</v>
      </c>
      <c r="AR82" s="12">
        <v>2</v>
      </c>
      <c r="AS82" s="12">
        <v>2</v>
      </c>
      <c r="AT82" s="12">
        <v>3</v>
      </c>
      <c r="AU82" s="12">
        <v>2</v>
      </c>
      <c r="AV82" s="12">
        <v>3</v>
      </c>
      <c r="AW82" s="12">
        <v>3</v>
      </c>
      <c r="AX82" s="12">
        <v>2</v>
      </c>
      <c r="AY82" s="12">
        <v>4</v>
      </c>
      <c r="AZ82" s="12">
        <v>0</v>
      </c>
      <c r="BA82" s="12">
        <v>4</v>
      </c>
      <c r="BB82" s="12">
        <v>0</v>
      </c>
      <c r="BC82" s="12">
        <v>2</v>
      </c>
      <c r="BD82" s="12">
        <v>2</v>
      </c>
      <c r="BE82" s="12">
        <v>4</v>
      </c>
      <c r="BF82" s="12">
        <v>1</v>
      </c>
      <c r="BG82" s="35">
        <v>2</v>
      </c>
      <c r="BH82" s="35">
        <v>0</v>
      </c>
      <c r="BI82" s="35">
        <v>2</v>
      </c>
      <c r="BJ82" s="35">
        <v>0</v>
      </c>
      <c r="BK82" s="35">
        <v>3</v>
      </c>
      <c r="BL82" s="35">
        <v>2</v>
      </c>
      <c r="BM82" s="35">
        <v>0</v>
      </c>
      <c r="BN82" s="35">
        <v>0</v>
      </c>
      <c r="BO82" s="35">
        <v>0</v>
      </c>
      <c r="BP82" s="38">
        <v>0</v>
      </c>
      <c r="BQ82" s="38">
        <v>1</v>
      </c>
    </row>
    <row r="83" spans="2:69" x14ac:dyDescent="0.25">
      <c r="B83" s="12">
        <v>0</v>
      </c>
      <c r="C83" s="12">
        <v>4</v>
      </c>
      <c r="D83" s="12">
        <v>1</v>
      </c>
      <c r="E83" s="12">
        <v>2</v>
      </c>
      <c r="F83" s="12">
        <v>4</v>
      </c>
      <c r="G83" s="12">
        <v>2</v>
      </c>
      <c r="H83" s="12">
        <v>4</v>
      </c>
      <c r="I83" s="12">
        <v>3</v>
      </c>
      <c r="J83" s="12">
        <v>2</v>
      </c>
      <c r="K83" s="12">
        <v>4</v>
      </c>
      <c r="L83" s="12">
        <v>1</v>
      </c>
      <c r="M83" s="12">
        <v>3</v>
      </c>
      <c r="N83" s="12">
        <v>2</v>
      </c>
      <c r="O83" s="18">
        <v>0</v>
      </c>
      <c r="P83" s="12">
        <v>1</v>
      </c>
      <c r="Q83" s="12">
        <v>1</v>
      </c>
      <c r="R83" s="19">
        <v>4</v>
      </c>
      <c r="S83" s="12">
        <v>4</v>
      </c>
      <c r="T83" s="12">
        <v>3</v>
      </c>
      <c r="U83" s="12">
        <v>4</v>
      </c>
      <c r="V83" s="12">
        <v>1</v>
      </c>
      <c r="W83" s="12">
        <v>4</v>
      </c>
      <c r="X83" s="12">
        <v>3</v>
      </c>
      <c r="Y83" s="12">
        <v>0</v>
      </c>
      <c r="Z83" s="12">
        <v>3</v>
      </c>
      <c r="AA83" s="12">
        <v>0</v>
      </c>
      <c r="AB83" s="12">
        <v>3</v>
      </c>
      <c r="AC83" s="12">
        <v>3</v>
      </c>
      <c r="AD83" s="12">
        <v>4</v>
      </c>
      <c r="AE83" s="12">
        <v>3</v>
      </c>
      <c r="AF83" s="12">
        <v>4</v>
      </c>
      <c r="AG83" s="12">
        <v>4</v>
      </c>
      <c r="AH83" s="12">
        <v>3</v>
      </c>
      <c r="AI83" s="12">
        <v>4</v>
      </c>
      <c r="AJ83" s="12">
        <v>2</v>
      </c>
      <c r="AK83" s="12">
        <v>3</v>
      </c>
      <c r="AL83" s="12">
        <v>3</v>
      </c>
      <c r="AM83" s="12">
        <v>3</v>
      </c>
      <c r="AN83" s="12">
        <v>3</v>
      </c>
      <c r="AO83" s="12">
        <v>3</v>
      </c>
      <c r="AP83" s="12">
        <v>2</v>
      </c>
      <c r="AQ83" s="12">
        <v>3</v>
      </c>
      <c r="AR83" s="12">
        <v>3</v>
      </c>
      <c r="AS83" s="12">
        <v>3</v>
      </c>
      <c r="AT83" s="12">
        <v>2</v>
      </c>
      <c r="AU83" s="12">
        <v>2</v>
      </c>
      <c r="AV83" s="12">
        <v>3</v>
      </c>
      <c r="AW83" s="12">
        <v>3</v>
      </c>
      <c r="AX83" s="12">
        <v>3</v>
      </c>
      <c r="AY83" s="12">
        <v>4</v>
      </c>
      <c r="AZ83" s="12">
        <v>0</v>
      </c>
      <c r="BA83" s="12">
        <v>4</v>
      </c>
      <c r="BB83" s="12">
        <v>0</v>
      </c>
      <c r="BC83" s="12">
        <v>2</v>
      </c>
      <c r="BD83" s="12">
        <v>4</v>
      </c>
      <c r="BE83" s="12">
        <v>4</v>
      </c>
      <c r="BF83" s="12">
        <v>3</v>
      </c>
      <c r="BG83" s="35">
        <v>3</v>
      </c>
      <c r="BH83" s="35">
        <v>2</v>
      </c>
      <c r="BI83" s="35">
        <v>4</v>
      </c>
      <c r="BJ83" s="35">
        <v>3</v>
      </c>
      <c r="BK83" s="35">
        <v>3</v>
      </c>
      <c r="BL83" s="35">
        <v>4</v>
      </c>
      <c r="BM83" s="35">
        <v>4</v>
      </c>
      <c r="BN83" s="35">
        <v>3</v>
      </c>
      <c r="BO83" s="35">
        <v>3</v>
      </c>
      <c r="BP83" s="38">
        <v>0</v>
      </c>
      <c r="BQ83" s="38">
        <v>1</v>
      </c>
    </row>
    <row r="84" spans="2:69" x14ac:dyDescent="0.25">
      <c r="B84" s="12">
        <v>0</v>
      </c>
      <c r="C84" s="12">
        <v>4</v>
      </c>
      <c r="D84" s="12">
        <v>1</v>
      </c>
      <c r="E84" s="12">
        <v>2</v>
      </c>
      <c r="F84" s="12">
        <v>2</v>
      </c>
      <c r="G84" s="12">
        <v>2</v>
      </c>
      <c r="H84" s="12">
        <v>4</v>
      </c>
      <c r="I84" s="12">
        <v>4</v>
      </c>
      <c r="J84" s="12">
        <v>3</v>
      </c>
      <c r="K84" s="12">
        <v>4</v>
      </c>
      <c r="L84" s="12">
        <v>1</v>
      </c>
      <c r="M84" s="12">
        <v>1</v>
      </c>
      <c r="N84" s="12">
        <v>2</v>
      </c>
      <c r="O84" s="18">
        <v>0</v>
      </c>
      <c r="P84" s="12">
        <v>1</v>
      </c>
      <c r="Q84" s="12">
        <v>1</v>
      </c>
      <c r="R84" s="19">
        <v>0</v>
      </c>
      <c r="S84" s="12">
        <v>4</v>
      </c>
      <c r="T84" s="12">
        <v>3</v>
      </c>
      <c r="U84" s="12">
        <v>4</v>
      </c>
      <c r="V84" s="12">
        <v>0</v>
      </c>
      <c r="W84" s="12">
        <v>4</v>
      </c>
      <c r="X84" s="12">
        <v>3</v>
      </c>
      <c r="Y84" s="12">
        <v>0</v>
      </c>
      <c r="Z84" s="12">
        <v>4</v>
      </c>
      <c r="AA84" s="12">
        <v>1</v>
      </c>
      <c r="AB84" s="12">
        <v>3</v>
      </c>
      <c r="AC84" s="12">
        <v>2</v>
      </c>
      <c r="AD84" s="12">
        <v>2</v>
      </c>
      <c r="AE84" s="12">
        <v>3</v>
      </c>
      <c r="AF84" s="12">
        <v>3</v>
      </c>
      <c r="AG84" s="12">
        <v>4</v>
      </c>
      <c r="AH84" s="12">
        <v>3</v>
      </c>
      <c r="AI84" s="12">
        <v>4</v>
      </c>
      <c r="AJ84" s="12">
        <v>3</v>
      </c>
      <c r="AK84" s="12">
        <v>2</v>
      </c>
      <c r="AL84" s="12">
        <v>3</v>
      </c>
      <c r="AM84" s="12">
        <v>4</v>
      </c>
      <c r="AN84" s="12">
        <v>3</v>
      </c>
      <c r="AO84" s="12">
        <v>2</v>
      </c>
      <c r="AP84" s="12">
        <v>2</v>
      </c>
      <c r="AQ84" s="12">
        <v>3</v>
      </c>
      <c r="AR84" s="12">
        <v>3</v>
      </c>
      <c r="AS84" s="12">
        <v>2</v>
      </c>
      <c r="AT84" s="12">
        <v>1</v>
      </c>
      <c r="AU84" s="12">
        <v>2</v>
      </c>
      <c r="AV84" s="12">
        <v>3</v>
      </c>
      <c r="AW84" s="12">
        <v>3</v>
      </c>
      <c r="AX84" s="12">
        <v>3</v>
      </c>
      <c r="AY84" s="12">
        <v>2</v>
      </c>
      <c r="AZ84" s="12">
        <v>3</v>
      </c>
      <c r="BA84" s="12">
        <v>4</v>
      </c>
      <c r="BB84" s="12">
        <v>1</v>
      </c>
      <c r="BC84" s="12">
        <v>2</v>
      </c>
      <c r="BD84" s="12">
        <v>4</v>
      </c>
      <c r="BE84" s="12">
        <v>3</v>
      </c>
      <c r="BF84" s="12">
        <v>3</v>
      </c>
      <c r="BG84" s="35">
        <v>2</v>
      </c>
      <c r="BH84" s="35">
        <v>1</v>
      </c>
      <c r="BI84" s="35">
        <v>1</v>
      </c>
      <c r="BJ84" s="35">
        <v>3</v>
      </c>
      <c r="BK84" s="35">
        <v>3</v>
      </c>
      <c r="BL84" s="35">
        <v>2</v>
      </c>
      <c r="BM84" s="35">
        <v>4</v>
      </c>
      <c r="BN84" s="35">
        <v>1</v>
      </c>
      <c r="BO84" s="35">
        <v>3</v>
      </c>
      <c r="BP84" s="38">
        <v>4</v>
      </c>
      <c r="BQ84" s="38">
        <v>0</v>
      </c>
    </row>
    <row r="85" spans="2:69" x14ac:dyDescent="0.25">
      <c r="B85" s="12">
        <v>0</v>
      </c>
      <c r="C85" s="12">
        <v>4</v>
      </c>
      <c r="D85" s="12">
        <v>1</v>
      </c>
      <c r="E85" s="12">
        <v>2</v>
      </c>
      <c r="F85" s="12">
        <v>1</v>
      </c>
      <c r="G85" s="12">
        <v>2</v>
      </c>
      <c r="H85" s="12">
        <v>4</v>
      </c>
      <c r="I85" s="12">
        <v>4</v>
      </c>
      <c r="J85" s="12">
        <v>2</v>
      </c>
      <c r="K85" s="12">
        <v>4</v>
      </c>
      <c r="L85" s="12">
        <v>3</v>
      </c>
      <c r="M85" s="12">
        <v>1</v>
      </c>
      <c r="N85" s="12">
        <v>2</v>
      </c>
      <c r="O85" s="18">
        <v>0</v>
      </c>
      <c r="P85" s="12">
        <v>1</v>
      </c>
      <c r="Q85" s="12">
        <v>1</v>
      </c>
      <c r="R85" s="19">
        <v>0</v>
      </c>
      <c r="S85" s="12">
        <v>2</v>
      </c>
      <c r="T85" s="12">
        <v>3</v>
      </c>
      <c r="U85" s="12">
        <v>4</v>
      </c>
      <c r="V85" s="12">
        <v>1</v>
      </c>
      <c r="W85" s="12">
        <v>4</v>
      </c>
      <c r="X85" s="12">
        <v>2</v>
      </c>
      <c r="Y85" s="12">
        <v>0</v>
      </c>
      <c r="Z85" s="12">
        <v>3</v>
      </c>
      <c r="AA85" s="12">
        <v>3</v>
      </c>
      <c r="AB85" s="12">
        <v>3</v>
      </c>
      <c r="AC85" s="12">
        <v>2</v>
      </c>
      <c r="AD85" s="12">
        <v>3</v>
      </c>
      <c r="AE85" s="12">
        <v>3</v>
      </c>
      <c r="AF85" s="12">
        <v>4</v>
      </c>
      <c r="AG85" s="12">
        <v>4</v>
      </c>
      <c r="AH85" s="12">
        <v>2</v>
      </c>
      <c r="AI85" s="12">
        <v>4</v>
      </c>
      <c r="AJ85" s="12">
        <v>2</v>
      </c>
      <c r="AK85" s="12">
        <v>3</v>
      </c>
      <c r="AL85" s="12">
        <v>3</v>
      </c>
      <c r="AM85" s="12">
        <v>4</v>
      </c>
      <c r="AN85" s="12">
        <v>3</v>
      </c>
      <c r="AO85" s="12">
        <v>2</v>
      </c>
      <c r="AP85" s="12">
        <v>2</v>
      </c>
      <c r="AQ85" s="12">
        <v>3</v>
      </c>
      <c r="AR85" s="12">
        <v>3</v>
      </c>
      <c r="AS85" s="12">
        <v>2</v>
      </c>
      <c r="AT85" s="12">
        <v>2</v>
      </c>
      <c r="AU85" s="12">
        <v>3</v>
      </c>
      <c r="AV85" s="12">
        <v>3</v>
      </c>
      <c r="AW85" s="12">
        <v>2</v>
      </c>
      <c r="AX85" s="12">
        <v>2</v>
      </c>
      <c r="AY85" s="12">
        <v>3</v>
      </c>
      <c r="AZ85" s="12">
        <v>3</v>
      </c>
      <c r="BA85" s="12">
        <v>4</v>
      </c>
      <c r="BB85" s="12">
        <v>0</v>
      </c>
      <c r="BC85" s="12">
        <v>1</v>
      </c>
      <c r="BD85" s="12">
        <v>4</v>
      </c>
      <c r="BE85" s="12">
        <v>3</v>
      </c>
      <c r="BF85" s="12">
        <v>3</v>
      </c>
      <c r="BG85" s="35">
        <v>2</v>
      </c>
      <c r="BH85" s="35">
        <v>1</v>
      </c>
      <c r="BI85" s="35">
        <v>2</v>
      </c>
      <c r="BJ85" s="35">
        <v>3</v>
      </c>
      <c r="BK85" s="35">
        <v>2</v>
      </c>
      <c r="BL85" s="35">
        <v>3</v>
      </c>
      <c r="BM85" s="35">
        <v>4</v>
      </c>
      <c r="BN85" s="35">
        <v>1</v>
      </c>
      <c r="BO85" s="35">
        <v>3</v>
      </c>
      <c r="BP85" s="38">
        <v>0</v>
      </c>
      <c r="BQ85" s="38">
        <v>0</v>
      </c>
    </row>
    <row r="86" spans="2:69" x14ac:dyDescent="0.25">
      <c r="B86" s="12">
        <v>0</v>
      </c>
      <c r="C86" s="12">
        <v>4</v>
      </c>
      <c r="D86" s="12">
        <v>1</v>
      </c>
      <c r="E86" s="12">
        <v>4</v>
      </c>
      <c r="F86" s="12">
        <v>2</v>
      </c>
      <c r="G86" s="12">
        <v>3</v>
      </c>
      <c r="H86" s="12">
        <v>4</v>
      </c>
      <c r="I86" s="12">
        <v>4</v>
      </c>
      <c r="J86" s="12">
        <v>2</v>
      </c>
      <c r="K86" s="12">
        <v>4</v>
      </c>
      <c r="L86" s="12">
        <v>3</v>
      </c>
      <c r="M86" s="12">
        <v>3</v>
      </c>
      <c r="N86" s="12">
        <v>2</v>
      </c>
      <c r="O86" s="18">
        <v>0</v>
      </c>
      <c r="P86" s="12">
        <v>1</v>
      </c>
      <c r="Q86" s="12">
        <v>3</v>
      </c>
      <c r="R86" s="19">
        <v>2</v>
      </c>
      <c r="S86" s="12">
        <v>4</v>
      </c>
      <c r="T86" s="12">
        <v>3</v>
      </c>
      <c r="U86" s="12">
        <v>4</v>
      </c>
      <c r="V86" s="12">
        <v>2</v>
      </c>
      <c r="W86" s="12">
        <v>4</v>
      </c>
      <c r="X86" s="12">
        <v>1</v>
      </c>
      <c r="Y86" s="12">
        <v>2</v>
      </c>
      <c r="Z86" s="12">
        <v>3</v>
      </c>
      <c r="AA86" s="12">
        <v>3</v>
      </c>
      <c r="AB86" s="12">
        <v>2</v>
      </c>
      <c r="AC86" s="12">
        <v>3</v>
      </c>
      <c r="AD86" s="12">
        <v>3</v>
      </c>
      <c r="AE86" s="12">
        <v>3</v>
      </c>
      <c r="AF86" s="12">
        <v>4</v>
      </c>
      <c r="AG86" s="12">
        <v>4</v>
      </c>
      <c r="AH86" s="12">
        <v>4</v>
      </c>
      <c r="AI86" s="12">
        <v>4</v>
      </c>
      <c r="AJ86" s="12">
        <v>4</v>
      </c>
      <c r="AK86" s="12">
        <v>3</v>
      </c>
      <c r="AL86" s="12">
        <v>4</v>
      </c>
      <c r="AM86" s="12">
        <v>4</v>
      </c>
      <c r="AN86" s="12">
        <v>4</v>
      </c>
      <c r="AO86" s="12">
        <v>2</v>
      </c>
      <c r="AP86" s="12">
        <v>3</v>
      </c>
      <c r="AQ86" s="12">
        <v>4</v>
      </c>
      <c r="AR86" s="12">
        <v>3</v>
      </c>
      <c r="AS86" s="12">
        <v>3</v>
      </c>
      <c r="AT86" s="12">
        <v>3</v>
      </c>
      <c r="AU86" s="12">
        <v>3</v>
      </c>
      <c r="AV86" s="12">
        <v>0</v>
      </c>
      <c r="AW86" s="12">
        <v>1</v>
      </c>
      <c r="AX86" s="12">
        <v>2</v>
      </c>
      <c r="AY86" s="12">
        <v>4</v>
      </c>
      <c r="AZ86" s="12">
        <v>4</v>
      </c>
      <c r="BA86" s="12">
        <v>4</v>
      </c>
      <c r="BB86" s="12">
        <v>2</v>
      </c>
      <c r="BC86" s="12">
        <v>2</v>
      </c>
      <c r="BD86" s="12">
        <v>4</v>
      </c>
      <c r="BE86" s="12">
        <v>4</v>
      </c>
      <c r="BF86" s="12">
        <v>3</v>
      </c>
      <c r="BG86" s="35">
        <v>4</v>
      </c>
      <c r="BH86" s="35">
        <v>2</v>
      </c>
      <c r="BI86" s="35">
        <v>3</v>
      </c>
      <c r="BJ86" s="35">
        <v>4</v>
      </c>
      <c r="BK86" s="35">
        <v>1</v>
      </c>
      <c r="BL86" s="35">
        <v>4</v>
      </c>
      <c r="BM86" s="35">
        <v>4</v>
      </c>
      <c r="BN86" s="35">
        <v>3</v>
      </c>
      <c r="BO86" s="35">
        <v>4</v>
      </c>
      <c r="BP86" s="38">
        <v>1</v>
      </c>
      <c r="BQ86" s="38">
        <v>1</v>
      </c>
    </row>
    <row r="87" spans="2:69" x14ac:dyDescent="0.25">
      <c r="B87" s="12">
        <v>0</v>
      </c>
      <c r="C87" s="12">
        <v>2</v>
      </c>
      <c r="D87" s="12">
        <v>0</v>
      </c>
      <c r="E87" s="12">
        <v>2</v>
      </c>
      <c r="F87" s="12">
        <v>1</v>
      </c>
      <c r="G87" s="12">
        <v>3</v>
      </c>
      <c r="H87" s="12">
        <v>3</v>
      </c>
      <c r="I87" s="12">
        <v>3</v>
      </c>
      <c r="J87" s="12">
        <v>1</v>
      </c>
      <c r="K87" s="12">
        <v>2</v>
      </c>
      <c r="L87" s="12">
        <v>1</v>
      </c>
      <c r="M87" s="12">
        <v>1</v>
      </c>
      <c r="N87" s="12">
        <v>1</v>
      </c>
      <c r="O87" s="18">
        <v>0</v>
      </c>
      <c r="P87" s="12">
        <v>1</v>
      </c>
      <c r="Q87" s="12">
        <v>1</v>
      </c>
      <c r="R87" s="19">
        <v>0</v>
      </c>
      <c r="S87" s="12">
        <v>4</v>
      </c>
      <c r="T87" s="12">
        <v>3</v>
      </c>
      <c r="U87" s="12">
        <v>4</v>
      </c>
      <c r="V87" s="12">
        <v>1</v>
      </c>
      <c r="W87" s="12">
        <v>4</v>
      </c>
      <c r="X87" s="12">
        <v>1</v>
      </c>
      <c r="Y87" s="12">
        <v>2</v>
      </c>
      <c r="Z87" s="12">
        <v>3</v>
      </c>
      <c r="AA87" s="12">
        <v>0</v>
      </c>
      <c r="AB87" s="12">
        <v>1</v>
      </c>
      <c r="AC87" s="12">
        <v>3</v>
      </c>
      <c r="AD87" s="12">
        <v>4</v>
      </c>
      <c r="AE87" s="12">
        <v>2</v>
      </c>
      <c r="AF87" s="12">
        <v>2</v>
      </c>
      <c r="AG87" s="12">
        <v>3</v>
      </c>
      <c r="AH87" s="12">
        <v>2</v>
      </c>
      <c r="AI87" s="12">
        <v>4</v>
      </c>
      <c r="AJ87" s="12">
        <v>3</v>
      </c>
      <c r="AK87" s="12">
        <v>3</v>
      </c>
      <c r="AL87" s="12">
        <v>4</v>
      </c>
      <c r="AM87" s="12">
        <v>3</v>
      </c>
      <c r="AN87" s="12">
        <v>4</v>
      </c>
      <c r="AO87" s="12">
        <v>2</v>
      </c>
      <c r="AP87" s="12">
        <v>3</v>
      </c>
      <c r="AQ87" s="12">
        <v>4</v>
      </c>
      <c r="AR87" s="12">
        <v>3</v>
      </c>
      <c r="AS87" s="12">
        <v>3</v>
      </c>
      <c r="AT87" s="12">
        <v>1</v>
      </c>
      <c r="AU87" s="12">
        <v>3</v>
      </c>
      <c r="AV87" s="12">
        <v>1</v>
      </c>
      <c r="AW87" s="12">
        <v>0</v>
      </c>
      <c r="AX87" s="12">
        <v>2</v>
      </c>
      <c r="AY87" s="12">
        <v>3</v>
      </c>
      <c r="AZ87" s="12">
        <v>3</v>
      </c>
      <c r="BA87" s="12">
        <v>4</v>
      </c>
      <c r="BB87" s="12">
        <v>0</v>
      </c>
      <c r="BC87" s="12">
        <v>1</v>
      </c>
      <c r="BD87" s="12">
        <v>2</v>
      </c>
      <c r="BE87" s="12">
        <v>2</v>
      </c>
      <c r="BF87" s="12">
        <v>2</v>
      </c>
      <c r="BG87" s="35">
        <v>2</v>
      </c>
      <c r="BH87" s="35">
        <v>3</v>
      </c>
      <c r="BI87" s="35">
        <v>2</v>
      </c>
      <c r="BJ87" s="35">
        <v>3</v>
      </c>
      <c r="BK87" s="35">
        <v>0</v>
      </c>
      <c r="BL87" s="35">
        <v>3</v>
      </c>
      <c r="BM87" s="35">
        <v>4</v>
      </c>
      <c r="BN87" s="35">
        <v>1</v>
      </c>
      <c r="BO87" s="35">
        <v>3</v>
      </c>
      <c r="BP87" s="38">
        <v>0</v>
      </c>
      <c r="BQ87" s="38">
        <v>0</v>
      </c>
    </row>
    <row r="88" spans="2:69" x14ac:dyDescent="0.25">
      <c r="B88" s="12">
        <v>3</v>
      </c>
      <c r="C88" s="12">
        <v>3</v>
      </c>
      <c r="D88" s="12">
        <v>1</v>
      </c>
      <c r="E88" s="12">
        <v>4</v>
      </c>
      <c r="F88" s="12">
        <v>3</v>
      </c>
      <c r="G88" s="12">
        <v>3</v>
      </c>
      <c r="H88" s="12">
        <v>4</v>
      </c>
      <c r="I88" s="12">
        <v>3</v>
      </c>
      <c r="J88" s="12">
        <v>3</v>
      </c>
      <c r="K88" s="12">
        <v>4</v>
      </c>
      <c r="L88" s="12">
        <v>4</v>
      </c>
      <c r="M88" s="12">
        <v>3</v>
      </c>
      <c r="N88" s="12">
        <v>3</v>
      </c>
      <c r="O88" s="18">
        <v>0</v>
      </c>
      <c r="P88" s="12">
        <v>4</v>
      </c>
      <c r="Q88" s="12">
        <v>3</v>
      </c>
      <c r="R88" s="19">
        <v>4</v>
      </c>
      <c r="S88" s="12">
        <v>4</v>
      </c>
      <c r="T88" s="12">
        <v>4</v>
      </c>
      <c r="U88" s="12">
        <v>3</v>
      </c>
      <c r="V88" s="12">
        <v>3</v>
      </c>
      <c r="W88" s="12">
        <v>4</v>
      </c>
      <c r="X88" s="12">
        <v>2</v>
      </c>
      <c r="Y88" s="12">
        <v>4</v>
      </c>
      <c r="Z88" s="12">
        <v>3</v>
      </c>
      <c r="AA88" s="12">
        <v>4</v>
      </c>
      <c r="AB88" s="12">
        <v>2</v>
      </c>
      <c r="AC88" s="12">
        <v>3</v>
      </c>
      <c r="AD88" s="12">
        <v>4</v>
      </c>
      <c r="AE88" s="12">
        <v>3</v>
      </c>
      <c r="AF88" s="12">
        <v>4</v>
      </c>
      <c r="AG88" s="12">
        <v>4</v>
      </c>
      <c r="AH88" s="12">
        <v>4</v>
      </c>
      <c r="AI88" s="12">
        <v>4</v>
      </c>
      <c r="AJ88" s="12">
        <v>4</v>
      </c>
      <c r="AK88" s="12">
        <v>3</v>
      </c>
      <c r="AL88" s="12">
        <v>4</v>
      </c>
      <c r="AM88" s="12">
        <v>4</v>
      </c>
      <c r="AN88" s="12">
        <v>2</v>
      </c>
      <c r="AO88" s="12">
        <v>3</v>
      </c>
      <c r="AP88" s="12">
        <v>4</v>
      </c>
      <c r="AQ88" s="12">
        <v>2</v>
      </c>
      <c r="AR88" s="12">
        <v>4</v>
      </c>
      <c r="AS88" s="12">
        <v>4</v>
      </c>
      <c r="AT88" s="12">
        <v>2</v>
      </c>
      <c r="AU88" s="12">
        <v>3</v>
      </c>
      <c r="AV88" s="12">
        <v>2</v>
      </c>
      <c r="AW88" s="12">
        <v>3</v>
      </c>
      <c r="AX88" s="12">
        <v>4</v>
      </c>
      <c r="AY88" s="12">
        <v>4</v>
      </c>
      <c r="AZ88" s="12">
        <v>2</v>
      </c>
      <c r="BA88" s="12">
        <v>4</v>
      </c>
      <c r="BB88" s="12">
        <v>3</v>
      </c>
      <c r="BC88" s="12">
        <v>3</v>
      </c>
      <c r="BD88" s="12">
        <v>2</v>
      </c>
      <c r="BE88" s="12">
        <v>4</v>
      </c>
      <c r="BF88" s="12">
        <v>2</v>
      </c>
      <c r="BG88" s="35">
        <v>2</v>
      </c>
      <c r="BH88" s="35">
        <v>3</v>
      </c>
      <c r="BI88" s="35">
        <v>3</v>
      </c>
      <c r="BJ88" s="35">
        <v>3</v>
      </c>
      <c r="BK88" s="35">
        <v>3</v>
      </c>
      <c r="BL88" s="35">
        <v>3</v>
      </c>
      <c r="BM88" s="35">
        <v>3</v>
      </c>
      <c r="BN88" s="35">
        <v>4</v>
      </c>
      <c r="BO88" s="35">
        <v>4</v>
      </c>
      <c r="BP88" s="38">
        <v>3</v>
      </c>
      <c r="BQ88" s="38">
        <v>3</v>
      </c>
    </row>
    <row r="89" spans="2:69" x14ac:dyDescent="0.25">
      <c r="B89" s="12">
        <v>3</v>
      </c>
      <c r="C89" s="12">
        <v>4</v>
      </c>
      <c r="D89" s="12">
        <v>4</v>
      </c>
      <c r="E89" s="12">
        <v>4</v>
      </c>
      <c r="F89" s="12">
        <v>3</v>
      </c>
      <c r="G89" s="12">
        <v>4</v>
      </c>
      <c r="H89" s="12">
        <v>4</v>
      </c>
      <c r="I89" s="12">
        <v>3</v>
      </c>
      <c r="J89" s="12">
        <v>2</v>
      </c>
      <c r="K89" s="12">
        <v>3</v>
      </c>
      <c r="L89" s="12">
        <v>4</v>
      </c>
      <c r="M89" s="12">
        <v>1</v>
      </c>
      <c r="N89" s="12">
        <v>3</v>
      </c>
      <c r="O89" s="18">
        <v>0</v>
      </c>
      <c r="P89" s="12">
        <v>4</v>
      </c>
      <c r="Q89" s="12">
        <v>3</v>
      </c>
      <c r="R89" s="19">
        <v>4</v>
      </c>
      <c r="S89" s="12">
        <v>4</v>
      </c>
      <c r="T89" s="12">
        <v>4</v>
      </c>
      <c r="U89" s="12">
        <v>4</v>
      </c>
      <c r="V89" s="12">
        <v>4</v>
      </c>
      <c r="W89" s="12">
        <v>4</v>
      </c>
      <c r="X89" s="12">
        <v>3</v>
      </c>
      <c r="Y89" s="12">
        <v>4</v>
      </c>
      <c r="Z89" s="12">
        <v>4</v>
      </c>
      <c r="AA89" s="12">
        <v>4</v>
      </c>
      <c r="AB89" s="12">
        <v>2</v>
      </c>
      <c r="AC89" s="12">
        <v>2</v>
      </c>
      <c r="AD89" s="12">
        <v>4</v>
      </c>
      <c r="AE89" s="12">
        <v>3</v>
      </c>
      <c r="AF89" s="12">
        <v>3</v>
      </c>
      <c r="AG89" s="12">
        <v>4</v>
      </c>
      <c r="AH89" s="12">
        <v>4</v>
      </c>
      <c r="AI89" s="12">
        <v>4</v>
      </c>
      <c r="AJ89" s="12">
        <v>4</v>
      </c>
      <c r="AK89" s="12">
        <v>3</v>
      </c>
      <c r="AL89" s="12">
        <v>4</v>
      </c>
      <c r="AM89" s="12">
        <v>4</v>
      </c>
      <c r="AN89" s="12">
        <v>4</v>
      </c>
      <c r="AO89" s="12">
        <v>2</v>
      </c>
      <c r="AP89" s="12">
        <v>4</v>
      </c>
      <c r="AQ89" s="12">
        <v>4</v>
      </c>
      <c r="AR89" s="12">
        <v>3</v>
      </c>
      <c r="AS89" s="12">
        <v>2</v>
      </c>
      <c r="AT89" s="12">
        <v>4</v>
      </c>
      <c r="AU89" s="12">
        <v>4</v>
      </c>
      <c r="AV89" s="12">
        <v>3</v>
      </c>
      <c r="AW89" s="12">
        <v>3</v>
      </c>
      <c r="AX89" s="12">
        <v>4</v>
      </c>
      <c r="AY89" s="12">
        <v>3</v>
      </c>
      <c r="AZ89" s="12">
        <v>3</v>
      </c>
      <c r="BA89" s="12">
        <v>4</v>
      </c>
      <c r="BB89" s="12">
        <v>3</v>
      </c>
      <c r="BC89" s="12">
        <v>3</v>
      </c>
      <c r="BD89" s="12">
        <v>4</v>
      </c>
      <c r="BE89" s="12">
        <v>4</v>
      </c>
      <c r="BF89" s="12">
        <v>3</v>
      </c>
      <c r="BG89" s="35">
        <v>4</v>
      </c>
      <c r="BH89" s="35">
        <v>3</v>
      </c>
      <c r="BI89" s="35">
        <v>2</v>
      </c>
      <c r="BJ89" s="35">
        <v>4</v>
      </c>
      <c r="BK89" s="35">
        <v>3</v>
      </c>
      <c r="BL89" s="35">
        <v>3</v>
      </c>
      <c r="BM89" s="35">
        <v>1</v>
      </c>
      <c r="BN89" s="35">
        <v>3</v>
      </c>
      <c r="BO89" s="35">
        <v>4</v>
      </c>
      <c r="BP89" s="38">
        <v>1</v>
      </c>
      <c r="BQ89" s="38">
        <v>3</v>
      </c>
    </row>
    <row r="90" spans="2:69" x14ac:dyDescent="0.25">
      <c r="B90" s="12">
        <v>1</v>
      </c>
      <c r="C90" s="12">
        <v>4</v>
      </c>
      <c r="D90" s="12">
        <v>4</v>
      </c>
      <c r="E90" s="12">
        <v>4</v>
      </c>
      <c r="F90" s="12">
        <v>4</v>
      </c>
      <c r="G90" s="12">
        <v>4</v>
      </c>
      <c r="H90" s="12">
        <v>2</v>
      </c>
      <c r="I90" s="12">
        <v>3</v>
      </c>
      <c r="J90" s="12">
        <v>3</v>
      </c>
      <c r="K90" s="12">
        <v>3</v>
      </c>
      <c r="L90" s="12">
        <v>4</v>
      </c>
      <c r="M90" s="12">
        <v>1</v>
      </c>
      <c r="N90" s="12">
        <v>3</v>
      </c>
      <c r="O90" s="18">
        <v>0</v>
      </c>
      <c r="P90" s="12">
        <v>3</v>
      </c>
      <c r="Q90" s="12">
        <v>3</v>
      </c>
      <c r="R90" s="19">
        <v>4</v>
      </c>
      <c r="S90" s="12">
        <v>4</v>
      </c>
      <c r="T90" s="12">
        <v>4</v>
      </c>
      <c r="U90" s="12">
        <v>4</v>
      </c>
      <c r="V90" s="12">
        <v>4</v>
      </c>
      <c r="W90" s="12">
        <v>4</v>
      </c>
      <c r="X90" s="12">
        <v>3</v>
      </c>
      <c r="Y90" s="12">
        <v>4</v>
      </c>
      <c r="Z90" s="12">
        <v>4</v>
      </c>
      <c r="AA90" s="12">
        <v>3</v>
      </c>
      <c r="AB90" s="12">
        <v>3</v>
      </c>
      <c r="AC90" s="12">
        <v>3</v>
      </c>
      <c r="AD90" s="12">
        <v>4</v>
      </c>
      <c r="AE90" s="12">
        <v>3</v>
      </c>
      <c r="AF90" s="12">
        <v>4</v>
      </c>
      <c r="AG90" s="12">
        <v>4</v>
      </c>
      <c r="AH90" s="12">
        <v>4</v>
      </c>
      <c r="AI90" s="12">
        <v>4</v>
      </c>
      <c r="AJ90" s="12">
        <v>3</v>
      </c>
      <c r="AK90" s="12">
        <v>3</v>
      </c>
      <c r="AL90" s="12">
        <v>4</v>
      </c>
      <c r="AM90" s="12">
        <v>4</v>
      </c>
      <c r="AN90" s="12">
        <v>4</v>
      </c>
      <c r="AO90" s="12">
        <v>3</v>
      </c>
      <c r="AP90" s="12">
        <v>4</v>
      </c>
      <c r="AQ90" s="12">
        <v>4</v>
      </c>
      <c r="AR90" s="12">
        <v>4</v>
      </c>
      <c r="AS90" s="12">
        <v>3</v>
      </c>
      <c r="AT90" s="12">
        <v>4</v>
      </c>
      <c r="AU90" s="12">
        <v>3</v>
      </c>
      <c r="AV90" s="12">
        <v>1</v>
      </c>
      <c r="AW90" s="12">
        <v>3</v>
      </c>
      <c r="AX90" s="12">
        <v>4</v>
      </c>
      <c r="AY90" s="12">
        <v>4</v>
      </c>
      <c r="AZ90" s="12">
        <v>3</v>
      </c>
      <c r="BA90" s="12">
        <v>4</v>
      </c>
      <c r="BB90" s="12">
        <v>3</v>
      </c>
      <c r="BC90" s="12">
        <v>3</v>
      </c>
      <c r="BD90" s="12">
        <v>4</v>
      </c>
      <c r="BE90" s="12">
        <v>4</v>
      </c>
      <c r="BF90" s="12">
        <v>3</v>
      </c>
      <c r="BG90" s="35">
        <v>4</v>
      </c>
      <c r="BH90" s="35">
        <v>3</v>
      </c>
      <c r="BI90" s="35">
        <v>4</v>
      </c>
      <c r="BJ90" s="35">
        <v>4</v>
      </c>
      <c r="BK90" s="35">
        <v>3</v>
      </c>
      <c r="BL90" s="35">
        <v>4</v>
      </c>
      <c r="BM90" s="35">
        <v>4</v>
      </c>
      <c r="BN90" s="35">
        <v>4</v>
      </c>
      <c r="BO90" s="35">
        <v>4</v>
      </c>
      <c r="BP90" s="38">
        <v>2</v>
      </c>
      <c r="BQ90" s="38">
        <v>3</v>
      </c>
    </row>
    <row r="91" spans="2:69" x14ac:dyDescent="0.25">
      <c r="B91" s="12">
        <v>1</v>
      </c>
      <c r="C91" s="12">
        <v>4</v>
      </c>
      <c r="D91" s="12">
        <v>4</v>
      </c>
      <c r="E91" s="12">
        <v>4</v>
      </c>
      <c r="F91" s="12">
        <v>4</v>
      </c>
      <c r="G91" s="12">
        <v>4</v>
      </c>
      <c r="H91" s="12">
        <v>3</v>
      </c>
      <c r="I91" s="12">
        <v>3</v>
      </c>
      <c r="J91" s="12">
        <v>3</v>
      </c>
      <c r="K91" s="12">
        <v>3</v>
      </c>
      <c r="L91" s="12">
        <v>3</v>
      </c>
      <c r="M91" s="12">
        <v>3</v>
      </c>
      <c r="N91" s="12">
        <v>3</v>
      </c>
      <c r="O91" s="18">
        <v>0</v>
      </c>
      <c r="P91" s="12">
        <v>3</v>
      </c>
      <c r="Q91" s="12">
        <v>3</v>
      </c>
      <c r="R91" s="19">
        <v>4</v>
      </c>
      <c r="S91" s="12">
        <v>4</v>
      </c>
      <c r="T91" s="12">
        <v>4</v>
      </c>
      <c r="U91" s="12">
        <v>4</v>
      </c>
      <c r="V91" s="12">
        <v>3</v>
      </c>
      <c r="W91" s="12">
        <v>4</v>
      </c>
      <c r="X91" s="12">
        <v>2</v>
      </c>
      <c r="Y91" s="12">
        <v>4</v>
      </c>
      <c r="Z91" s="12">
        <v>4</v>
      </c>
      <c r="AA91" s="12">
        <v>2</v>
      </c>
      <c r="AB91" s="12">
        <v>3</v>
      </c>
      <c r="AC91" s="12">
        <v>2</v>
      </c>
      <c r="AD91" s="12">
        <v>3</v>
      </c>
      <c r="AE91" s="12">
        <v>3</v>
      </c>
      <c r="AF91" s="12">
        <v>4</v>
      </c>
      <c r="AG91" s="12">
        <v>4</v>
      </c>
      <c r="AH91" s="12">
        <v>4</v>
      </c>
      <c r="AI91" s="12">
        <v>4</v>
      </c>
      <c r="AJ91" s="12">
        <v>3</v>
      </c>
      <c r="AK91" s="12">
        <v>3</v>
      </c>
      <c r="AL91" s="12">
        <v>4</v>
      </c>
      <c r="AM91" s="12">
        <v>4</v>
      </c>
      <c r="AN91" s="12">
        <v>4</v>
      </c>
      <c r="AO91" s="12">
        <v>2</v>
      </c>
      <c r="AP91" s="12">
        <v>4</v>
      </c>
      <c r="AQ91" s="12">
        <v>4</v>
      </c>
      <c r="AR91" s="12">
        <v>3</v>
      </c>
      <c r="AS91" s="12">
        <v>4</v>
      </c>
      <c r="AT91" s="12">
        <v>4</v>
      </c>
      <c r="AU91" s="12">
        <v>3</v>
      </c>
      <c r="AV91" s="12">
        <v>1</v>
      </c>
      <c r="AW91" s="12">
        <v>4</v>
      </c>
      <c r="AX91" s="12">
        <v>4</v>
      </c>
      <c r="AY91" s="12">
        <v>4</v>
      </c>
      <c r="AZ91" s="12">
        <v>3</v>
      </c>
      <c r="BA91" s="12">
        <v>4</v>
      </c>
      <c r="BB91" s="12">
        <v>2</v>
      </c>
      <c r="BC91" s="12">
        <v>2</v>
      </c>
      <c r="BD91" s="12">
        <v>4</v>
      </c>
      <c r="BE91" s="12">
        <v>4</v>
      </c>
      <c r="BF91" s="12">
        <v>2</v>
      </c>
      <c r="BG91" s="35">
        <v>3</v>
      </c>
      <c r="BH91" s="35">
        <v>3</v>
      </c>
      <c r="BI91" s="35">
        <v>3</v>
      </c>
      <c r="BJ91" s="35">
        <v>3</v>
      </c>
      <c r="BK91" s="35">
        <v>4</v>
      </c>
      <c r="BL91" s="35">
        <v>4</v>
      </c>
      <c r="BM91" s="35">
        <v>4</v>
      </c>
      <c r="BN91" s="35">
        <v>4</v>
      </c>
      <c r="BO91" s="35">
        <v>3</v>
      </c>
      <c r="BP91" s="38">
        <v>3</v>
      </c>
      <c r="BQ91" s="38">
        <v>3</v>
      </c>
    </row>
    <row r="92" spans="2:69" x14ac:dyDescent="0.25">
      <c r="B92" s="12">
        <v>1</v>
      </c>
      <c r="C92" s="12">
        <v>3</v>
      </c>
      <c r="D92" s="12">
        <v>2</v>
      </c>
      <c r="E92" s="12">
        <v>4</v>
      </c>
      <c r="F92" s="12">
        <v>4</v>
      </c>
      <c r="G92" s="12">
        <v>4</v>
      </c>
      <c r="H92" s="12">
        <v>2</v>
      </c>
      <c r="I92" s="12">
        <v>3</v>
      </c>
      <c r="J92" s="12">
        <v>2</v>
      </c>
      <c r="K92" s="12">
        <v>4</v>
      </c>
      <c r="L92" s="12">
        <v>3</v>
      </c>
      <c r="M92" s="12">
        <v>3</v>
      </c>
      <c r="N92" s="12">
        <v>2</v>
      </c>
      <c r="O92" s="18">
        <v>0</v>
      </c>
      <c r="P92" s="12">
        <v>2</v>
      </c>
      <c r="Q92" s="12">
        <v>3</v>
      </c>
      <c r="R92" s="19">
        <v>4</v>
      </c>
      <c r="S92" s="12">
        <v>4</v>
      </c>
      <c r="T92" s="12">
        <v>4</v>
      </c>
      <c r="U92" s="12">
        <v>4</v>
      </c>
      <c r="V92" s="12">
        <v>3</v>
      </c>
      <c r="W92" s="12">
        <v>4</v>
      </c>
      <c r="X92" s="12">
        <v>3</v>
      </c>
      <c r="Y92" s="12">
        <v>4</v>
      </c>
      <c r="Z92" s="12">
        <v>4</v>
      </c>
      <c r="AA92" s="12">
        <v>2</v>
      </c>
      <c r="AB92" s="12">
        <v>3</v>
      </c>
      <c r="AC92" s="12">
        <v>2</v>
      </c>
      <c r="AD92" s="12">
        <v>3</v>
      </c>
      <c r="AE92" s="12">
        <v>3</v>
      </c>
      <c r="AF92" s="12">
        <v>4</v>
      </c>
      <c r="AG92" s="12">
        <v>4</v>
      </c>
      <c r="AH92" s="12">
        <v>4</v>
      </c>
      <c r="AI92" s="12">
        <v>4</v>
      </c>
      <c r="AJ92" s="12">
        <v>4</v>
      </c>
      <c r="AK92" s="12">
        <v>3</v>
      </c>
      <c r="AL92" s="12">
        <v>4</v>
      </c>
      <c r="AM92" s="12">
        <v>3</v>
      </c>
      <c r="AN92" s="12">
        <v>2</v>
      </c>
      <c r="AO92" s="12">
        <v>2</v>
      </c>
      <c r="AP92" s="12">
        <v>4</v>
      </c>
      <c r="AQ92" s="12">
        <v>3</v>
      </c>
      <c r="AR92" s="12">
        <v>4</v>
      </c>
      <c r="AS92" s="12">
        <v>4</v>
      </c>
      <c r="AT92" s="12">
        <v>3</v>
      </c>
      <c r="AU92" s="12">
        <v>2</v>
      </c>
      <c r="AV92" s="12">
        <v>1</v>
      </c>
      <c r="AW92" s="12">
        <v>3</v>
      </c>
      <c r="AX92" s="12">
        <v>4</v>
      </c>
      <c r="AY92" s="12">
        <v>4</v>
      </c>
      <c r="AZ92" s="12">
        <v>2</v>
      </c>
      <c r="BA92" s="12">
        <v>4</v>
      </c>
      <c r="BB92" s="12">
        <v>2</v>
      </c>
      <c r="BC92" s="12">
        <v>3</v>
      </c>
      <c r="BD92" s="12">
        <v>4</v>
      </c>
      <c r="BE92" s="12">
        <v>1</v>
      </c>
      <c r="BF92" s="12">
        <v>1</v>
      </c>
      <c r="BG92" s="35">
        <v>4</v>
      </c>
      <c r="BH92" s="35">
        <v>2</v>
      </c>
      <c r="BI92" s="35">
        <v>2</v>
      </c>
      <c r="BJ92" s="35">
        <v>2</v>
      </c>
      <c r="BK92" s="35">
        <v>3</v>
      </c>
      <c r="BL92" s="35">
        <v>4</v>
      </c>
      <c r="BM92" s="35">
        <v>4</v>
      </c>
      <c r="BN92" s="35">
        <v>4</v>
      </c>
      <c r="BO92" s="35">
        <v>4</v>
      </c>
      <c r="BP92" s="38">
        <v>3</v>
      </c>
      <c r="BQ92" s="38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5"/>
  <sheetViews>
    <sheetView workbookViewId="0">
      <selection activeCell="H14" sqref="H14"/>
    </sheetView>
  </sheetViews>
  <sheetFormatPr defaultColWidth="8.85546875" defaultRowHeight="15" x14ac:dyDescent="0.25"/>
  <cols>
    <col min="2" max="2" width="19.140625" bestFit="1" customWidth="1"/>
    <col min="3" max="3" width="11.140625" customWidth="1"/>
  </cols>
  <sheetData>
    <row r="1" spans="1:4" x14ac:dyDescent="0.25">
      <c r="B1" t="s">
        <v>361</v>
      </c>
      <c r="C1" t="s">
        <v>363</v>
      </c>
      <c r="D1" t="s">
        <v>362</v>
      </c>
    </row>
    <row r="2" spans="1:4" x14ac:dyDescent="0.25">
      <c r="A2">
        <v>4</v>
      </c>
      <c r="B2" s="30" t="s">
        <v>385</v>
      </c>
      <c r="C2" s="21" t="s">
        <v>364</v>
      </c>
      <c r="D2" t="s">
        <v>365</v>
      </c>
    </row>
    <row r="3" spans="1:4" x14ac:dyDescent="0.25">
      <c r="A3">
        <v>16</v>
      </c>
      <c r="B3" s="30" t="s">
        <v>392</v>
      </c>
      <c r="C3" s="21" t="s">
        <v>364</v>
      </c>
      <c r="D3" t="s">
        <v>365</v>
      </c>
    </row>
    <row r="4" spans="1:4" x14ac:dyDescent="0.25">
      <c r="A4">
        <v>2</v>
      </c>
      <c r="B4" s="30" t="s">
        <v>383</v>
      </c>
      <c r="C4" s="21" t="s">
        <v>364</v>
      </c>
      <c r="D4" t="s">
        <v>365</v>
      </c>
    </row>
    <row r="5" spans="1:4" x14ac:dyDescent="0.25">
      <c r="A5">
        <v>21</v>
      </c>
      <c r="B5" s="30" t="s">
        <v>416</v>
      </c>
      <c r="C5" s="21" t="s">
        <v>364</v>
      </c>
      <c r="D5" t="s">
        <v>365</v>
      </c>
    </row>
    <row r="6" spans="1:4" x14ac:dyDescent="0.25">
      <c r="A6">
        <v>14</v>
      </c>
      <c r="B6" s="17" t="s">
        <v>52</v>
      </c>
      <c r="C6" s="21" t="s">
        <v>364</v>
      </c>
      <c r="D6" t="s">
        <v>365</v>
      </c>
    </row>
    <row r="7" spans="1:4" x14ac:dyDescent="0.25">
      <c r="A7">
        <v>3</v>
      </c>
      <c r="B7" s="30" t="s">
        <v>384</v>
      </c>
      <c r="C7" s="21" t="s">
        <v>364</v>
      </c>
      <c r="D7" t="s">
        <v>365</v>
      </c>
    </row>
    <row r="8" spans="1:4" x14ac:dyDescent="0.25">
      <c r="A8">
        <v>17</v>
      </c>
      <c r="B8" s="30" t="s">
        <v>393</v>
      </c>
      <c r="C8" s="21" t="s">
        <v>364</v>
      </c>
      <c r="D8" t="s">
        <v>365</v>
      </c>
    </row>
    <row r="9" spans="1:4" x14ac:dyDescent="0.25">
      <c r="A9">
        <v>23</v>
      </c>
      <c r="B9" s="30" t="s">
        <v>412</v>
      </c>
      <c r="C9" s="21" t="s">
        <v>364</v>
      </c>
      <c r="D9" t="s">
        <v>365</v>
      </c>
    </row>
    <row r="10" spans="1:4" x14ac:dyDescent="0.25">
      <c r="A10">
        <v>22</v>
      </c>
      <c r="B10" s="30" t="s">
        <v>396</v>
      </c>
      <c r="C10" s="21" t="s">
        <v>364</v>
      </c>
      <c r="D10" t="s">
        <v>365</v>
      </c>
    </row>
    <row r="11" spans="1:4" x14ac:dyDescent="0.25">
      <c r="A11">
        <v>13</v>
      </c>
      <c r="B11" s="30" t="s">
        <v>390</v>
      </c>
      <c r="C11" s="21" t="s">
        <v>364</v>
      </c>
      <c r="D11" t="s">
        <v>365</v>
      </c>
    </row>
    <row r="12" spans="1:4" x14ac:dyDescent="0.25">
      <c r="A12">
        <v>18</v>
      </c>
      <c r="B12" s="30" t="s">
        <v>415</v>
      </c>
      <c r="C12" s="21" t="s">
        <v>364</v>
      </c>
      <c r="D12" t="s">
        <v>365</v>
      </c>
    </row>
    <row r="13" spans="1:4" x14ac:dyDescent="0.25">
      <c r="A13">
        <v>7</v>
      </c>
      <c r="B13" s="30" t="s">
        <v>397</v>
      </c>
      <c r="C13" s="21" t="s">
        <v>364</v>
      </c>
      <c r="D13" t="s">
        <v>365</v>
      </c>
    </row>
    <row r="14" spans="1:4" x14ac:dyDescent="0.25">
      <c r="A14">
        <v>1</v>
      </c>
      <c r="B14" s="30" t="s">
        <v>382</v>
      </c>
      <c r="C14" s="21" t="s">
        <v>364</v>
      </c>
      <c r="D14" t="s">
        <v>365</v>
      </c>
    </row>
    <row r="15" spans="1:4" x14ac:dyDescent="0.25">
      <c r="A15">
        <v>15</v>
      </c>
      <c r="B15" s="30" t="s">
        <v>391</v>
      </c>
      <c r="C15" s="21" t="s">
        <v>364</v>
      </c>
      <c r="D15" t="s">
        <v>365</v>
      </c>
    </row>
    <row r="16" spans="1:4" x14ac:dyDescent="0.25">
      <c r="A16">
        <v>19</v>
      </c>
      <c r="B16" s="30" t="s">
        <v>394</v>
      </c>
      <c r="C16" s="21" t="s">
        <v>364</v>
      </c>
      <c r="D16" t="s">
        <v>365</v>
      </c>
    </row>
    <row r="17" spans="1:4" x14ac:dyDescent="0.25">
      <c r="A17">
        <v>24</v>
      </c>
      <c r="B17" s="30" t="s">
        <v>410</v>
      </c>
      <c r="C17" s="21" t="s">
        <v>364</v>
      </c>
      <c r="D17" t="s">
        <v>365</v>
      </c>
    </row>
    <row r="18" spans="1:4" x14ac:dyDescent="0.25">
      <c r="A18">
        <v>11</v>
      </c>
      <c r="B18" s="30" t="s">
        <v>409</v>
      </c>
      <c r="C18" s="21" t="s">
        <v>364</v>
      </c>
      <c r="D18" t="s">
        <v>365</v>
      </c>
    </row>
    <row r="19" spans="1:4" x14ac:dyDescent="0.25">
      <c r="A19">
        <v>8</v>
      </c>
      <c r="B19" s="30" t="s">
        <v>388</v>
      </c>
      <c r="C19" s="21" t="s">
        <v>364</v>
      </c>
      <c r="D19" t="s">
        <v>365</v>
      </c>
    </row>
    <row r="20" spans="1:4" x14ac:dyDescent="0.25">
      <c r="A20">
        <v>12</v>
      </c>
      <c r="B20" s="30" t="s">
        <v>389</v>
      </c>
      <c r="C20" s="21" t="s">
        <v>364</v>
      </c>
      <c r="D20" t="s">
        <v>365</v>
      </c>
    </row>
    <row r="21" spans="1:4" x14ac:dyDescent="0.25">
      <c r="A21">
        <v>9</v>
      </c>
      <c r="B21" s="30" t="s">
        <v>414</v>
      </c>
      <c r="C21" s="21" t="s">
        <v>364</v>
      </c>
      <c r="D21" t="s">
        <v>365</v>
      </c>
    </row>
    <row r="22" spans="1:4" x14ac:dyDescent="0.25">
      <c r="A22">
        <v>6</v>
      </c>
      <c r="B22" s="30" t="s">
        <v>387</v>
      </c>
      <c r="C22" s="21" t="s">
        <v>364</v>
      </c>
      <c r="D22" t="s">
        <v>365</v>
      </c>
    </row>
    <row r="23" spans="1:4" x14ac:dyDescent="0.25">
      <c r="A23">
        <v>10</v>
      </c>
      <c r="B23" s="30" t="s">
        <v>417</v>
      </c>
      <c r="C23" s="21" t="s">
        <v>364</v>
      </c>
      <c r="D23" t="s">
        <v>365</v>
      </c>
    </row>
    <row r="24" spans="1:4" x14ac:dyDescent="0.25">
      <c r="A24">
        <v>20</v>
      </c>
      <c r="B24" s="30" t="s">
        <v>395</v>
      </c>
      <c r="C24" s="21" t="s">
        <v>364</v>
      </c>
      <c r="D24" t="s">
        <v>365</v>
      </c>
    </row>
    <row r="25" spans="1:4" x14ac:dyDescent="0.25">
      <c r="A25">
        <v>5</v>
      </c>
      <c r="B25" s="30" t="s">
        <v>386</v>
      </c>
      <c r="C25" s="21" t="s">
        <v>364</v>
      </c>
      <c r="D25" t="s">
        <v>365</v>
      </c>
    </row>
    <row r="26" spans="1:4" x14ac:dyDescent="0.25">
      <c r="A26">
        <v>25</v>
      </c>
      <c r="B26" s="30" t="s">
        <v>411</v>
      </c>
      <c r="C26" s="21" t="s">
        <v>364</v>
      </c>
      <c r="D26" t="s">
        <v>365</v>
      </c>
    </row>
    <row r="27" spans="1:4" x14ac:dyDescent="0.25">
      <c r="A27">
        <v>26</v>
      </c>
      <c r="B27" s="30" t="s">
        <v>413</v>
      </c>
      <c r="C27" s="21" t="s">
        <v>364</v>
      </c>
      <c r="D27" t="s">
        <v>365</v>
      </c>
    </row>
    <row r="28" spans="1:4" x14ac:dyDescent="0.25">
      <c r="A28">
        <v>51</v>
      </c>
      <c r="B28" s="31" t="s">
        <v>369</v>
      </c>
      <c r="C28" s="29" t="s">
        <v>366</v>
      </c>
      <c r="D28" t="s">
        <v>365</v>
      </c>
    </row>
    <row r="29" spans="1:4" x14ac:dyDescent="0.25">
      <c r="A29">
        <v>49</v>
      </c>
      <c r="B29" s="31" t="s">
        <v>367</v>
      </c>
      <c r="C29" s="29" t="s">
        <v>366</v>
      </c>
      <c r="D29" t="s">
        <v>365</v>
      </c>
    </row>
    <row r="30" spans="1:4" x14ac:dyDescent="0.25">
      <c r="A30">
        <v>44</v>
      </c>
      <c r="B30" s="31" t="s">
        <v>376</v>
      </c>
      <c r="C30" s="29" t="s">
        <v>366</v>
      </c>
      <c r="D30" t="s">
        <v>365</v>
      </c>
    </row>
    <row r="31" spans="1:4" x14ac:dyDescent="0.25">
      <c r="A31">
        <v>31</v>
      </c>
      <c r="B31" s="31" t="s">
        <v>402</v>
      </c>
      <c r="C31" s="29" t="s">
        <v>366</v>
      </c>
      <c r="D31" t="s">
        <v>365</v>
      </c>
    </row>
    <row r="32" spans="1:4" x14ac:dyDescent="0.25">
      <c r="A32">
        <v>35</v>
      </c>
      <c r="B32" s="31" t="s">
        <v>372</v>
      </c>
      <c r="C32" s="29" t="s">
        <v>366</v>
      </c>
      <c r="D32" t="s">
        <v>365</v>
      </c>
    </row>
    <row r="33" spans="1:4" x14ac:dyDescent="0.25">
      <c r="A33">
        <v>33</v>
      </c>
      <c r="B33" s="31" t="s">
        <v>381</v>
      </c>
      <c r="C33" s="29" t="s">
        <v>366</v>
      </c>
      <c r="D33" t="s">
        <v>365</v>
      </c>
    </row>
    <row r="34" spans="1:4" x14ac:dyDescent="0.25">
      <c r="A34">
        <v>30</v>
      </c>
      <c r="B34" s="31" t="s">
        <v>379</v>
      </c>
      <c r="C34" s="29" t="s">
        <v>366</v>
      </c>
      <c r="D34" t="s">
        <v>365</v>
      </c>
    </row>
    <row r="35" spans="1:4" x14ac:dyDescent="0.25">
      <c r="A35">
        <v>37</v>
      </c>
      <c r="B35" s="31" t="s">
        <v>401</v>
      </c>
      <c r="C35" s="29" t="s">
        <v>366</v>
      </c>
      <c r="D35" t="s">
        <v>365</v>
      </c>
    </row>
    <row r="36" spans="1:4" x14ac:dyDescent="0.25">
      <c r="A36">
        <v>52</v>
      </c>
      <c r="B36" s="31" t="s">
        <v>404</v>
      </c>
      <c r="C36" s="29" t="s">
        <v>366</v>
      </c>
      <c r="D36" t="s">
        <v>365</v>
      </c>
    </row>
    <row r="37" spans="1:4" x14ac:dyDescent="0.25">
      <c r="A37">
        <v>50</v>
      </c>
      <c r="B37" s="31" t="s">
        <v>368</v>
      </c>
      <c r="C37" s="29" t="s">
        <v>366</v>
      </c>
      <c r="D37" t="s">
        <v>365</v>
      </c>
    </row>
    <row r="38" spans="1:4" x14ac:dyDescent="0.25">
      <c r="A38">
        <v>34</v>
      </c>
      <c r="B38" s="31" t="s">
        <v>400</v>
      </c>
      <c r="C38" s="29" t="s">
        <v>366</v>
      </c>
      <c r="D38" t="s">
        <v>365</v>
      </c>
    </row>
    <row r="39" spans="1:4" x14ac:dyDescent="0.25">
      <c r="A39">
        <v>45</v>
      </c>
      <c r="B39" s="31" t="s">
        <v>418</v>
      </c>
      <c r="C39" s="29" t="s">
        <v>366</v>
      </c>
      <c r="D39" t="s">
        <v>365</v>
      </c>
    </row>
    <row r="40" spans="1:4" x14ac:dyDescent="0.25">
      <c r="A40">
        <v>32</v>
      </c>
      <c r="B40" s="31" t="s">
        <v>380</v>
      </c>
      <c r="C40" s="29" t="s">
        <v>366</v>
      </c>
      <c r="D40" t="s">
        <v>365</v>
      </c>
    </row>
    <row r="41" spans="1:4" x14ac:dyDescent="0.25">
      <c r="A41">
        <v>28</v>
      </c>
      <c r="B41" s="31" t="s">
        <v>377</v>
      </c>
      <c r="C41" s="29" t="s">
        <v>366</v>
      </c>
      <c r="D41" t="s">
        <v>365</v>
      </c>
    </row>
    <row r="42" spans="1:4" x14ac:dyDescent="0.25">
      <c r="A42">
        <v>40</v>
      </c>
      <c r="B42" s="31" t="s">
        <v>374</v>
      </c>
      <c r="C42" s="29" t="s">
        <v>366</v>
      </c>
      <c r="D42" t="s">
        <v>365</v>
      </c>
    </row>
    <row r="43" spans="1:4" x14ac:dyDescent="0.25">
      <c r="A43">
        <v>42</v>
      </c>
      <c r="B43" s="31" t="s">
        <v>398</v>
      </c>
      <c r="C43" s="29" t="s">
        <v>366</v>
      </c>
      <c r="D43" t="s">
        <v>365</v>
      </c>
    </row>
    <row r="44" spans="1:4" x14ac:dyDescent="0.25">
      <c r="A44">
        <v>29</v>
      </c>
      <c r="B44" s="31" t="s">
        <v>378</v>
      </c>
      <c r="C44" s="29" t="s">
        <v>366</v>
      </c>
      <c r="D44" t="s">
        <v>365</v>
      </c>
    </row>
    <row r="45" spans="1:4" x14ac:dyDescent="0.25">
      <c r="A45">
        <v>43</v>
      </c>
      <c r="B45" s="31" t="s">
        <v>406</v>
      </c>
      <c r="C45" s="29" t="s">
        <v>366</v>
      </c>
      <c r="D45" t="s">
        <v>365</v>
      </c>
    </row>
    <row r="46" spans="1:4" x14ac:dyDescent="0.25">
      <c r="A46">
        <v>46</v>
      </c>
      <c r="B46" s="31" t="s">
        <v>407</v>
      </c>
      <c r="C46" s="29" t="s">
        <v>366</v>
      </c>
      <c r="D46" t="s">
        <v>365</v>
      </c>
    </row>
    <row r="47" spans="1:4" x14ac:dyDescent="0.25">
      <c r="A47">
        <v>36</v>
      </c>
      <c r="B47" s="31" t="s">
        <v>77</v>
      </c>
      <c r="C47" s="29" t="s">
        <v>366</v>
      </c>
      <c r="D47" t="s">
        <v>365</v>
      </c>
    </row>
    <row r="48" spans="1:4" x14ac:dyDescent="0.25">
      <c r="A48">
        <v>27</v>
      </c>
      <c r="B48" s="31" t="s">
        <v>403</v>
      </c>
      <c r="C48" s="29" t="s">
        <v>366</v>
      </c>
      <c r="D48" t="s">
        <v>365</v>
      </c>
    </row>
    <row r="49" spans="1:4" x14ac:dyDescent="0.25">
      <c r="A49">
        <v>38</v>
      </c>
      <c r="B49" s="31" t="s">
        <v>373</v>
      </c>
      <c r="C49" s="29" t="s">
        <v>366</v>
      </c>
      <c r="D49" t="s">
        <v>365</v>
      </c>
    </row>
    <row r="50" spans="1:4" x14ac:dyDescent="0.25">
      <c r="A50">
        <v>47</v>
      </c>
      <c r="B50" s="31" t="s">
        <v>408</v>
      </c>
      <c r="C50" s="29" t="s">
        <v>366</v>
      </c>
      <c r="D50" t="s">
        <v>365</v>
      </c>
    </row>
    <row r="51" spans="1:4" x14ac:dyDescent="0.25">
      <c r="A51">
        <v>48</v>
      </c>
      <c r="B51" s="31" t="s">
        <v>399</v>
      </c>
      <c r="C51" s="29" t="s">
        <v>366</v>
      </c>
      <c r="D51" t="s">
        <v>365</v>
      </c>
    </row>
    <row r="52" spans="1:4" x14ac:dyDescent="0.25">
      <c r="A52">
        <v>41</v>
      </c>
      <c r="B52" s="31" t="s">
        <v>375</v>
      </c>
      <c r="C52" s="29" t="s">
        <v>366</v>
      </c>
      <c r="D52" t="s">
        <v>365</v>
      </c>
    </row>
    <row r="53" spans="1:4" x14ac:dyDescent="0.25">
      <c r="A53">
        <v>54</v>
      </c>
      <c r="B53" s="31" t="s">
        <v>371</v>
      </c>
      <c r="C53" s="29" t="s">
        <v>366</v>
      </c>
      <c r="D53" t="s">
        <v>365</v>
      </c>
    </row>
    <row r="54" spans="1:4" x14ac:dyDescent="0.25">
      <c r="A54">
        <v>39</v>
      </c>
      <c r="B54" s="31" t="s">
        <v>405</v>
      </c>
      <c r="C54" s="29" t="s">
        <v>366</v>
      </c>
      <c r="D54" t="s">
        <v>365</v>
      </c>
    </row>
    <row r="55" spans="1:4" x14ac:dyDescent="0.25">
      <c r="A55">
        <v>53</v>
      </c>
      <c r="B55" s="31" t="s">
        <v>370</v>
      </c>
      <c r="C55" s="29" t="s">
        <v>366</v>
      </c>
      <c r="D55" t="s">
        <v>365</v>
      </c>
    </row>
  </sheetData>
  <autoFilter ref="A1:D55" xr:uid="{00000000-0009-0000-0000-000004000000}">
    <sortState ref="A2:D55">
      <sortCondition ref="C1:C55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156"/>
  <sheetViews>
    <sheetView zoomScale="160" zoomScaleNormal="160" workbookViewId="0">
      <selection sqref="A1:E156"/>
    </sheetView>
  </sheetViews>
  <sheetFormatPr defaultColWidth="11.42578125" defaultRowHeight="15" x14ac:dyDescent="0.25"/>
  <cols>
    <col min="2" max="2" width="27.42578125" bestFit="1" customWidth="1"/>
    <col min="3" max="3" width="16.85546875" bestFit="1" customWidth="1"/>
    <col min="4" max="4" width="10.85546875" style="12"/>
    <col min="5" max="5" width="30.7109375" bestFit="1" customWidth="1"/>
  </cols>
  <sheetData>
    <row r="1" spans="1:5" x14ac:dyDescent="0.25">
      <c r="A1" s="1" t="s">
        <v>168</v>
      </c>
      <c r="B1" s="1" t="s">
        <v>169</v>
      </c>
      <c r="C1" s="1" t="s">
        <v>170</v>
      </c>
      <c r="D1" s="1" t="s">
        <v>171</v>
      </c>
      <c r="E1" s="1" t="s">
        <v>308</v>
      </c>
    </row>
    <row r="2" spans="1:5" x14ac:dyDescent="0.25">
      <c r="A2" t="s">
        <v>441</v>
      </c>
      <c r="B2" t="s">
        <v>465</v>
      </c>
      <c r="C2" t="s">
        <v>466</v>
      </c>
      <c r="D2" s="12">
        <v>0</v>
      </c>
    </row>
    <row r="3" spans="1:5" x14ac:dyDescent="0.25">
      <c r="C3" t="s">
        <v>442</v>
      </c>
      <c r="D3" s="12">
        <v>1</v>
      </c>
    </row>
    <row r="4" spans="1:5" x14ac:dyDescent="0.25">
      <c r="A4" t="s">
        <v>162</v>
      </c>
      <c r="B4" t="s">
        <v>0</v>
      </c>
      <c r="D4" s="12" t="s">
        <v>11</v>
      </c>
    </row>
    <row r="5" spans="1:5" x14ac:dyDescent="0.25">
      <c r="A5" t="s">
        <v>163</v>
      </c>
      <c r="B5" t="s">
        <v>1</v>
      </c>
      <c r="C5" t="s">
        <v>166</v>
      </c>
      <c r="D5" s="12">
        <v>0</v>
      </c>
    </row>
    <row r="6" spans="1:5" x14ac:dyDescent="0.25">
      <c r="C6" t="s">
        <v>167</v>
      </c>
      <c r="D6" s="12">
        <v>1</v>
      </c>
    </row>
    <row r="7" spans="1:5" x14ac:dyDescent="0.25">
      <c r="A7" t="s">
        <v>164</v>
      </c>
      <c r="B7" t="s">
        <v>2</v>
      </c>
      <c r="C7" t="s">
        <v>172</v>
      </c>
      <c r="D7" s="12">
        <v>0</v>
      </c>
    </row>
    <row r="8" spans="1:5" x14ac:dyDescent="0.25">
      <c r="C8" t="s">
        <v>173</v>
      </c>
      <c r="D8" s="12">
        <v>1</v>
      </c>
    </row>
    <row r="9" spans="1:5" x14ac:dyDescent="0.25">
      <c r="A9" t="s">
        <v>165</v>
      </c>
      <c r="B9" t="s">
        <v>3</v>
      </c>
      <c r="C9" t="s">
        <v>174</v>
      </c>
      <c r="D9" s="12">
        <v>0</v>
      </c>
    </row>
    <row r="10" spans="1:5" x14ac:dyDescent="0.25">
      <c r="C10" t="s">
        <v>175</v>
      </c>
      <c r="D10" s="12">
        <v>1</v>
      </c>
    </row>
    <row r="11" spans="1:5" x14ac:dyDescent="0.25">
      <c r="C11" t="s">
        <v>71</v>
      </c>
      <c r="D11" s="12">
        <v>2</v>
      </c>
    </row>
    <row r="12" spans="1:5" x14ac:dyDescent="0.25">
      <c r="A12" t="s">
        <v>182</v>
      </c>
      <c r="B12" t="s">
        <v>176</v>
      </c>
      <c r="C12" t="s">
        <v>177</v>
      </c>
      <c r="D12" s="12">
        <v>0</v>
      </c>
    </row>
    <row r="13" spans="1:5" x14ac:dyDescent="0.25">
      <c r="C13" t="s">
        <v>178</v>
      </c>
      <c r="D13" s="12">
        <v>1</v>
      </c>
    </row>
    <row r="14" spans="1:5" x14ac:dyDescent="0.25">
      <c r="C14" t="s">
        <v>179</v>
      </c>
      <c r="D14" s="12">
        <v>2</v>
      </c>
    </row>
    <row r="15" spans="1:5" x14ac:dyDescent="0.25">
      <c r="C15" t="s">
        <v>180</v>
      </c>
      <c r="D15" s="12">
        <v>3</v>
      </c>
    </row>
    <row r="16" spans="1:5" x14ac:dyDescent="0.25">
      <c r="C16" t="s">
        <v>181</v>
      </c>
      <c r="D16" s="12">
        <v>4</v>
      </c>
    </row>
    <row r="17" spans="1:5" x14ac:dyDescent="0.25">
      <c r="A17" t="s">
        <v>183</v>
      </c>
      <c r="B17" t="s">
        <v>5</v>
      </c>
      <c r="C17" t="s">
        <v>184</v>
      </c>
      <c r="D17" s="12">
        <v>0</v>
      </c>
    </row>
    <row r="18" spans="1:5" x14ac:dyDescent="0.25">
      <c r="C18" t="s">
        <v>185</v>
      </c>
      <c r="D18" s="12">
        <v>1</v>
      </c>
    </row>
    <row r="19" spans="1:5" x14ac:dyDescent="0.25">
      <c r="C19" t="s">
        <v>186</v>
      </c>
      <c r="D19" s="12">
        <v>2</v>
      </c>
    </row>
    <row r="20" spans="1:5" x14ac:dyDescent="0.25">
      <c r="C20" t="s">
        <v>188</v>
      </c>
      <c r="D20" s="12">
        <v>3</v>
      </c>
    </row>
    <row r="21" spans="1:5" x14ac:dyDescent="0.25">
      <c r="C21" t="s">
        <v>187</v>
      </c>
      <c r="D21" s="12">
        <v>4</v>
      </c>
    </row>
    <row r="22" spans="1:5" x14ac:dyDescent="0.25">
      <c r="C22" t="s">
        <v>76</v>
      </c>
      <c r="D22" s="12">
        <v>5</v>
      </c>
    </row>
    <row r="23" spans="1:5" x14ac:dyDescent="0.25">
      <c r="C23" t="s">
        <v>71</v>
      </c>
      <c r="D23" s="12">
        <v>6</v>
      </c>
    </row>
    <row r="24" spans="1:5" x14ac:dyDescent="0.25">
      <c r="A24" t="s">
        <v>189</v>
      </c>
      <c r="B24" t="s">
        <v>190</v>
      </c>
      <c r="C24" t="s">
        <v>191</v>
      </c>
      <c r="D24" s="12">
        <v>0</v>
      </c>
    </row>
    <row r="25" spans="1:5" x14ac:dyDescent="0.25">
      <c r="C25" t="s">
        <v>192</v>
      </c>
      <c r="D25" s="12">
        <v>1</v>
      </c>
      <c r="E25" t="s">
        <v>193</v>
      </c>
    </row>
    <row r="26" spans="1:5" x14ac:dyDescent="0.25">
      <c r="A26" t="s">
        <v>194</v>
      </c>
      <c r="B26" t="s">
        <v>195</v>
      </c>
      <c r="C26" t="s">
        <v>196</v>
      </c>
      <c r="D26" s="12">
        <v>0</v>
      </c>
    </row>
    <row r="27" spans="1:5" x14ac:dyDescent="0.25">
      <c r="C27" t="s">
        <v>197</v>
      </c>
      <c r="D27" s="12">
        <v>1</v>
      </c>
    </row>
    <row r="28" spans="1:5" x14ac:dyDescent="0.25">
      <c r="C28" t="s">
        <v>198</v>
      </c>
      <c r="D28" s="12">
        <v>2</v>
      </c>
    </row>
    <row r="29" spans="1:5" x14ac:dyDescent="0.25">
      <c r="A29" t="s">
        <v>199</v>
      </c>
      <c r="B29" t="s">
        <v>8</v>
      </c>
      <c r="C29" t="s">
        <v>200</v>
      </c>
      <c r="D29" s="12">
        <v>0</v>
      </c>
    </row>
    <row r="30" spans="1:5" x14ac:dyDescent="0.25">
      <c r="C30" t="s">
        <v>201</v>
      </c>
      <c r="D30" s="12">
        <v>1</v>
      </c>
    </row>
    <row r="31" spans="1:5" x14ac:dyDescent="0.25">
      <c r="C31" t="s">
        <v>202</v>
      </c>
      <c r="D31" s="12">
        <v>2</v>
      </c>
      <c r="E31" t="s">
        <v>204</v>
      </c>
    </row>
    <row r="32" spans="1:5" x14ac:dyDescent="0.25">
      <c r="C32" t="s">
        <v>203</v>
      </c>
      <c r="D32" s="12">
        <v>3</v>
      </c>
    </row>
    <row r="33" spans="1:5" x14ac:dyDescent="0.25">
      <c r="A33" t="s">
        <v>205</v>
      </c>
      <c r="B33" t="s">
        <v>144</v>
      </c>
      <c r="D33" s="12" t="s">
        <v>11</v>
      </c>
    </row>
    <row r="34" spans="1:5" x14ac:dyDescent="0.25">
      <c r="A34" t="s">
        <v>206</v>
      </c>
      <c r="B34" t="s">
        <v>207</v>
      </c>
      <c r="D34" s="12">
        <v>0</v>
      </c>
      <c r="E34" t="s">
        <v>208</v>
      </c>
    </row>
    <row r="35" spans="1:5" x14ac:dyDescent="0.25">
      <c r="D35" s="12">
        <v>1</v>
      </c>
      <c r="E35" t="s">
        <v>191</v>
      </c>
    </row>
    <row r="36" spans="1:5" x14ac:dyDescent="0.25">
      <c r="A36" s="25" t="s">
        <v>209</v>
      </c>
      <c r="B36" s="25" t="s">
        <v>467</v>
      </c>
      <c r="C36" s="25" t="s">
        <v>292</v>
      </c>
      <c r="D36" s="26" t="s">
        <v>468</v>
      </c>
      <c r="E36" s="25" t="s">
        <v>472</v>
      </c>
    </row>
    <row r="37" spans="1:5" x14ac:dyDescent="0.25">
      <c r="A37" s="25" t="s">
        <v>210</v>
      </c>
      <c r="B37" s="25" t="s">
        <v>469</v>
      </c>
      <c r="C37" s="25" t="s">
        <v>292</v>
      </c>
      <c r="D37" s="26" t="s">
        <v>468</v>
      </c>
      <c r="E37" s="25" t="s">
        <v>473</v>
      </c>
    </row>
    <row r="38" spans="1:5" x14ac:dyDescent="0.25">
      <c r="A38" s="25" t="s">
        <v>211</v>
      </c>
      <c r="B38" s="25" t="s">
        <v>470</v>
      </c>
      <c r="C38" s="25" t="s">
        <v>292</v>
      </c>
      <c r="D38" s="26" t="s">
        <v>468</v>
      </c>
      <c r="E38" s="25" t="s">
        <v>474</v>
      </c>
    </row>
    <row r="39" spans="1:5" x14ac:dyDescent="0.25">
      <c r="A39" s="25" t="s">
        <v>212</v>
      </c>
      <c r="B39" s="25" t="s">
        <v>471</v>
      </c>
      <c r="C39" s="25" t="s">
        <v>292</v>
      </c>
      <c r="D39" s="26" t="s">
        <v>468</v>
      </c>
      <c r="E39" s="25" t="s">
        <v>475</v>
      </c>
    </row>
    <row r="40" spans="1:5" x14ac:dyDescent="0.25">
      <c r="A40" t="s">
        <v>213</v>
      </c>
      <c r="B40" t="s">
        <v>214</v>
      </c>
      <c r="C40">
        <v>4</v>
      </c>
      <c r="D40" s="12" t="s">
        <v>11</v>
      </c>
    </row>
    <row r="41" spans="1:5" x14ac:dyDescent="0.25">
      <c r="A41" s="27" t="s">
        <v>215</v>
      </c>
      <c r="B41" t="s">
        <v>217</v>
      </c>
      <c r="D41" s="12">
        <v>0</v>
      </c>
      <c r="E41" t="s">
        <v>208</v>
      </c>
    </row>
    <row r="42" spans="1:5" x14ac:dyDescent="0.25">
      <c r="D42" s="12">
        <v>1</v>
      </c>
      <c r="E42" t="s">
        <v>191</v>
      </c>
    </row>
    <row r="43" spans="1:5" x14ac:dyDescent="0.25">
      <c r="A43" s="27" t="s">
        <v>216</v>
      </c>
      <c r="B43" t="s">
        <v>218</v>
      </c>
      <c r="D43" s="12" t="s">
        <v>11</v>
      </c>
    </row>
    <row r="44" spans="1:5" x14ac:dyDescent="0.25">
      <c r="A44" t="s">
        <v>219</v>
      </c>
      <c r="B44" t="s">
        <v>220</v>
      </c>
      <c r="C44">
        <v>6</v>
      </c>
      <c r="D44" s="12" t="s">
        <v>11</v>
      </c>
    </row>
    <row r="45" spans="1:5" x14ac:dyDescent="0.25">
      <c r="A45" s="27" t="s">
        <v>221</v>
      </c>
      <c r="B45" t="s">
        <v>223</v>
      </c>
      <c r="D45" s="12">
        <v>0</v>
      </c>
      <c r="E45" t="s">
        <v>208</v>
      </c>
    </row>
    <row r="46" spans="1:5" x14ac:dyDescent="0.25">
      <c r="D46" s="12">
        <v>1</v>
      </c>
      <c r="E46" t="s">
        <v>191</v>
      </c>
    </row>
    <row r="47" spans="1:5" x14ac:dyDescent="0.25">
      <c r="A47" s="27" t="s">
        <v>222</v>
      </c>
      <c r="B47" t="s">
        <v>224</v>
      </c>
      <c r="D47" s="12" t="s">
        <v>11</v>
      </c>
    </row>
    <row r="48" spans="1:5" x14ac:dyDescent="0.25">
      <c r="A48" t="s">
        <v>225</v>
      </c>
      <c r="B48" t="s">
        <v>226</v>
      </c>
      <c r="C48">
        <v>2000</v>
      </c>
      <c r="D48" s="12" t="s">
        <v>11</v>
      </c>
    </row>
    <row r="49" spans="1:5" x14ac:dyDescent="0.25">
      <c r="A49" s="27" t="s">
        <v>229</v>
      </c>
      <c r="B49" t="s">
        <v>227</v>
      </c>
      <c r="D49" s="12">
        <v>0</v>
      </c>
      <c r="E49" t="s">
        <v>208</v>
      </c>
    </row>
    <row r="50" spans="1:5" x14ac:dyDescent="0.25">
      <c r="D50" s="12">
        <v>1</v>
      </c>
      <c r="E50" t="s">
        <v>191</v>
      </c>
    </row>
    <row r="51" spans="1:5" x14ac:dyDescent="0.25">
      <c r="A51" s="27" t="s">
        <v>230</v>
      </c>
      <c r="B51" t="s">
        <v>228</v>
      </c>
      <c r="D51" s="12" t="s">
        <v>11</v>
      </c>
    </row>
    <row r="52" spans="1:5" x14ac:dyDescent="0.25">
      <c r="A52" t="s">
        <v>231</v>
      </c>
      <c r="B52" s="28" t="s">
        <v>15</v>
      </c>
      <c r="C52">
        <v>2524.9499999999998</v>
      </c>
      <c r="D52" s="12" t="s">
        <v>11</v>
      </c>
    </row>
    <row r="53" spans="1:5" x14ac:dyDescent="0.25">
      <c r="A53" s="27" t="s">
        <v>233</v>
      </c>
      <c r="B53" t="s">
        <v>232</v>
      </c>
      <c r="D53" s="12">
        <v>0</v>
      </c>
      <c r="E53" t="s">
        <v>208</v>
      </c>
    </row>
    <row r="54" spans="1:5" x14ac:dyDescent="0.25">
      <c r="D54" s="12">
        <v>1</v>
      </c>
      <c r="E54" t="s">
        <v>191</v>
      </c>
    </row>
    <row r="55" spans="1:5" x14ac:dyDescent="0.25">
      <c r="A55" s="27" t="s">
        <v>234</v>
      </c>
      <c r="B55" t="s">
        <v>235</v>
      </c>
      <c r="D55" s="12" t="s">
        <v>11</v>
      </c>
    </row>
    <row r="56" spans="1:5" x14ac:dyDescent="0.25">
      <c r="A56" t="s">
        <v>236</v>
      </c>
      <c r="B56" s="28" t="s">
        <v>14</v>
      </c>
      <c r="C56">
        <v>1980.23</v>
      </c>
      <c r="D56" s="12" t="s">
        <v>11</v>
      </c>
    </row>
    <row r="57" spans="1:5" x14ac:dyDescent="0.25">
      <c r="A57" s="27" t="s">
        <v>237</v>
      </c>
      <c r="B57" t="s">
        <v>239</v>
      </c>
      <c r="D57" s="12">
        <v>0</v>
      </c>
      <c r="E57" t="s">
        <v>208</v>
      </c>
    </row>
    <row r="58" spans="1:5" x14ac:dyDescent="0.25">
      <c r="D58" s="12">
        <v>1</v>
      </c>
      <c r="E58" t="s">
        <v>191</v>
      </c>
    </row>
    <row r="59" spans="1:5" x14ac:dyDescent="0.25">
      <c r="A59" s="27" t="s">
        <v>238</v>
      </c>
      <c r="B59" t="s">
        <v>240</v>
      </c>
      <c r="D59" s="12" t="s">
        <v>11</v>
      </c>
    </row>
    <row r="60" spans="1:5" x14ac:dyDescent="0.25">
      <c r="A60" s="27" t="s">
        <v>241</v>
      </c>
      <c r="B60" t="s">
        <v>242</v>
      </c>
      <c r="C60" t="s">
        <v>243</v>
      </c>
      <c r="D60" s="12">
        <v>0</v>
      </c>
      <c r="E60" t="s">
        <v>245</v>
      </c>
    </row>
    <row r="61" spans="1:5" x14ac:dyDescent="0.25">
      <c r="C61" t="s">
        <v>244</v>
      </c>
      <c r="D61" s="12">
        <v>1</v>
      </c>
      <c r="E61" t="s">
        <v>204</v>
      </c>
    </row>
    <row r="62" spans="1:5" x14ac:dyDescent="0.25">
      <c r="A62" t="s">
        <v>246</v>
      </c>
      <c r="B62" t="s">
        <v>301</v>
      </c>
      <c r="D62" s="12">
        <v>0</v>
      </c>
      <c r="E62" t="s">
        <v>208</v>
      </c>
    </row>
    <row r="63" spans="1:5" x14ac:dyDescent="0.25">
      <c r="D63" s="12">
        <v>1</v>
      </c>
      <c r="E63" t="s">
        <v>191</v>
      </c>
    </row>
    <row r="64" spans="1:5" x14ac:dyDescent="0.25">
      <c r="A64" t="s">
        <v>248</v>
      </c>
      <c r="B64" t="s">
        <v>302</v>
      </c>
      <c r="D64" s="12" t="s">
        <v>11</v>
      </c>
    </row>
    <row r="65" spans="1:5" x14ac:dyDescent="0.25">
      <c r="A65" t="s">
        <v>250</v>
      </c>
      <c r="B65" t="s">
        <v>247</v>
      </c>
      <c r="C65" t="s">
        <v>200</v>
      </c>
      <c r="D65" s="12">
        <v>0</v>
      </c>
      <c r="E65" t="s">
        <v>204</v>
      </c>
    </row>
    <row r="66" spans="1:5" x14ac:dyDescent="0.25">
      <c r="C66" t="s">
        <v>201</v>
      </c>
      <c r="D66" s="12">
        <v>1</v>
      </c>
    </row>
    <row r="67" spans="1:5" x14ac:dyDescent="0.25">
      <c r="C67" t="s">
        <v>202</v>
      </c>
      <c r="D67" s="12">
        <v>2</v>
      </c>
    </row>
    <row r="68" spans="1:5" x14ac:dyDescent="0.25">
      <c r="C68" t="s">
        <v>203</v>
      </c>
      <c r="D68" s="12">
        <v>3</v>
      </c>
    </row>
    <row r="69" spans="1:5" x14ac:dyDescent="0.25">
      <c r="A69" t="s">
        <v>252</v>
      </c>
      <c r="B69" t="s">
        <v>249</v>
      </c>
      <c r="D69" s="12">
        <v>0</v>
      </c>
      <c r="E69" t="s">
        <v>208</v>
      </c>
    </row>
    <row r="70" spans="1:5" x14ac:dyDescent="0.25">
      <c r="D70" s="12">
        <v>1</v>
      </c>
      <c r="E70" t="s">
        <v>191</v>
      </c>
    </row>
    <row r="71" spans="1:5" x14ac:dyDescent="0.25">
      <c r="A71" t="s">
        <v>253</v>
      </c>
      <c r="B71" t="s">
        <v>251</v>
      </c>
      <c r="D71" s="12" t="s">
        <v>11</v>
      </c>
    </row>
    <row r="72" spans="1:5" x14ac:dyDescent="0.25">
      <c r="A72" t="s">
        <v>254</v>
      </c>
      <c r="B72" t="s">
        <v>110</v>
      </c>
      <c r="C72" t="s">
        <v>200</v>
      </c>
      <c r="D72" s="12">
        <v>0</v>
      </c>
      <c r="E72" t="s">
        <v>204</v>
      </c>
    </row>
    <row r="73" spans="1:5" x14ac:dyDescent="0.25">
      <c r="C73" t="s">
        <v>201</v>
      </c>
      <c r="D73" s="12">
        <v>1</v>
      </c>
    </row>
    <row r="74" spans="1:5" x14ac:dyDescent="0.25">
      <c r="C74" t="s">
        <v>202</v>
      </c>
      <c r="D74" s="12">
        <v>2</v>
      </c>
    </row>
    <row r="75" spans="1:5" x14ac:dyDescent="0.25">
      <c r="C75" t="s">
        <v>203</v>
      </c>
      <c r="D75" s="12">
        <v>3</v>
      </c>
    </row>
    <row r="76" spans="1:5" x14ac:dyDescent="0.25">
      <c r="A76" t="s">
        <v>257</v>
      </c>
      <c r="B76" t="s">
        <v>255</v>
      </c>
      <c r="D76" s="12">
        <v>0</v>
      </c>
      <c r="E76" t="s">
        <v>208</v>
      </c>
    </row>
    <row r="77" spans="1:5" x14ac:dyDescent="0.25">
      <c r="D77" s="12">
        <v>1</v>
      </c>
      <c r="E77" t="s">
        <v>191</v>
      </c>
    </row>
    <row r="78" spans="1:5" x14ac:dyDescent="0.25">
      <c r="A78" t="s">
        <v>258</v>
      </c>
      <c r="B78" t="s">
        <v>256</v>
      </c>
      <c r="D78" s="12" t="s">
        <v>11</v>
      </c>
    </row>
    <row r="79" spans="1:5" x14ac:dyDescent="0.25">
      <c r="A79" t="s">
        <v>259</v>
      </c>
      <c r="B79" t="s">
        <v>111</v>
      </c>
      <c r="C79" t="s">
        <v>200</v>
      </c>
      <c r="D79" s="12">
        <v>0</v>
      </c>
      <c r="E79" t="s">
        <v>204</v>
      </c>
    </row>
    <row r="80" spans="1:5" x14ac:dyDescent="0.25">
      <c r="C80" t="s">
        <v>201</v>
      </c>
      <c r="D80" s="12">
        <v>1</v>
      </c>
    </row>
    <row r="81" spans="1:5" x14ac:dyDescent="0.25">
      <c r="C81" t="s">
        <v>202</v>
      </c>
      <c r="D81" s="12">
        <v>2</v>
      </c>
    </row>
    <row r="82" spans="1:5" x14ac:dyDescent="0.25">
      <c r="C82" t="s">
        <v>203</v>
      </c>
      <c r="D82" s="12">
        <v>3</v>
      </c>
    </row>
    <row r="83" spans="1:5" x14ac:dyDescent="0.25">
      <c r="A83" t="s">
        <v>262</v>
      </c>
      <c r="B83" t="s">
        <v>260</v>
      </c>
      <c r="D83" s="12">
        <v>0</v>
      </c>
      <c r="E83" t="s">
        <v>208</v>
      </c>
    </row>
    <row r="84" spans="1:5" x14ac:dyDescent="0.25">
      <c r="D84" s="12">
        <v>1</v>
      </c>
      <c r="E84" t="s">
        <v>191</v>
      </c>
    </row>
    <row r="85" spans="1:5" x14ac:dyDescent="0.25">
      <c r="A85" t="s">
        <v>263</v>
      </c>
      <c r="B85" t="s">
        <v>261</v>
      </c>
      <c r="D85" s="12" t="s">
        <v>11</v>
      </c>
    </row>
    <row r="86" spans="1:5" x14ac:dyDescent="0.25">
      <c r="A86" t="s">
        <v>264</v>
      </c>
      <c r="B86" t="s">
        <v>265</v>
      </c>
      <c r="C86" t="s">
        <v>200</v>
      </c>
      <c r="D86" s="12">
        <v>0</v>
      </c>
    </row>
    <row r="87" spans="1:5" x14ac:dyDescent="0.25">
      <c r="C87" t="s">
        <v>201</v>
      </c>
      <c r="D87" s="12">
        <v>1</v>
      </c>
    </row>
    <row r="88" spans="1:5" x14ac:dyDescent="0.25">
      <c r="C88" t="s">
        <v>202</v>
      </c>
      <c r="D88" s="12">
        <v>2</v>
      </c>
      <c r="E88" t="s">
        <v>204</v>
      </c>
    </row>
    <row r="89" spans="1:5" x14ac:dyDescent="0.25">
      <c r="C89" t="s">
        <v>203</v>
      </c>
      <c r="D89" s="12">
        <v>3</v>
      </c>
    </row>
    <row r="90" spans="1:5" x14ac:dyDescent="0.25">
      <c r="A90" t="s">
        <v>268</v>
      </c>
      <c r="B90" t="s">
        <v>266</v>
      </c>
      <c r="D90" s="12">
        <v>0</v>
      </c>
      <c r="E90" t="s">
        <v>208</v>
      </c>
    </row>
    <row r="91" spans="1:5" x14ac:dyDescent="0.25">
      <c r="D91" s="12">
        <v>1</v>
      </c>
      <c r="E91" t="s">
        <v>191</v>
      </c>
    </row>
    <row r="92" spans="1:5" x14ac:dyDescent="0.25">
      <c r="A92" t="s">
        <v>269</v>
      </c>
      <c r="B92" t="s">
        <v>267</v>
      </c>
      <c r="D92" s="12" t="s">
        <v>11</v>
      </c>
    </row>
    <row r="93" spans="1:5" x14ac:dyDescent="0.25">
      <c r="A93" t="s">
        <v>270</v>
      </c>
      <c r="B93" t="s">
        <v>271</v>
      </c>
      <c r="C93" t="s">
        <v>200</v>
      </c>
      <c r="D93" s="12">
        <v>0</v>
      </c>
    </row>
    <row r="94" spans="1:5" x14ac:dyDescent="0.25">
      <c r="C94" t="s">
        <v>201</v>
      </c>
      <c r="D94" s="12">
        <v>1</v>
      </c>
      <c r="E94" t="s">
        <v>204</v>
      </c>
    </row>
    <row r="95" spans="1:5" x14ac:dyDescent="0.25">
      <c r="C95" t="s">
        <v>202</v>
      </c>
      <c r="D95" s="12">
        <v>2</v>
      </c>
    </row>
    <row r="96" spans="1:5" x14ac:dyDescent="0.25">
      <c r="C96" t="s">
        <v>203</v>
      </c>
      <c r="D96" s="12">
        <v>3</v>
      </c>
    </row>
    <row r="97" spans="1:5" x14ac:dyDescent="0.25">
      <c r="A97" t="s">
        <v>274</v>
      </c>
      <c r="B97" t="s">
        <v>272</v>
      </c>
      <c r="D97" s="12">
        <v>0</v>
      </c>
      <c r="E97" t="s">
        <v>208</v>
      </c>
    </row>
    <row r="98" spans="1:5" x14ac:dyDescent="0.25">
      <c r="D98" s="12">
        <v>1</v>
      </c>
      <c r="E98" t="s">
        <v>191</v>
      </c>
    </row>
    <row r="99" spans="1:5" x14ac:dyDescent="0.25">
      <c r="A99" t="s">
        <v>275</v>
      </c>
      <c r="B99" t="s">
        <v>273</v>
      </c>
      <c r="D99" s="12" t="s">
        <v>11</v>
      </c>
    </row>
    <row r="100" spans="1:5" x14ac:dyDescent="0.25">
      <c r="A100" t="s">
        <v>276</v>
      </c>
      <c r="B100" t="s">
        <v>277</v>
      </c>
      <c r="C100" t="s">
        <v>200</v>
      </c>
      <c r="D100" s="12">
        <v>0</v>
      </c>
    </row>
    <row r="101" spans="1:5" x14ac:dyDescent="0.25">
      <c r="C101" t="s">
        <v>201</v>
      </c>
      <c r="D101" s="12">
        <v>1</v>
      </c>
    </row>
    <row r="102" spans="1:5" x14ac:dyDescent="0.25">
      <c r="C102" t="s">
        <v>202</v>
      </c>
      <c r="D102" s="12">
        <v>2</v>
      </c>
    </row>
    <row r="103" spans="1:5" x14ac:dyDescent="0.25">
      <c r="C103" t="s">
        <v>203</v>
      </c>
      <c r="D103" s="12">
        <v>3</v>
      </c>
      <c r="E103" t="s">
        <v>204</v>
      </c>
    </row>
    <row r="104" spans="1:5" x14ac:dyDescent="0.25">
      <c r="A104" t="s">
        <v>280</v>
      </c>
      <c r="B104" t="s">
        <v>278</v>
      </c>
      <c r="D104" s="12">
        <v>0</v>
      </c>
      <c r="E104" t="s">
        <v>208</v>
      </c>
    </row>
    <row r="105" spans="1:5" x14ac:dyDescent="0.25">
      <c r="D105" s="12">
        <v>1</v>
      </c>
      <c r="E105" t="s">
        <v>191</v>
      </c>
    </row>
    <row r="106" spans="1:5" x14ac:dyDescent="0.25">
      <c r="A106" t="s">
        <v>281</v>
      </c>
      <c r="B106" t="s">
        <v>279</v>
      </c>
      <c r="D106" s="12" t="s">
        <v>11</v>
      </c>
    </row>
    <row r="107" spans="1:5" x14ac:dyDescent="0.25">
      <c r="A107" t="s">
        <v>282</v>
      </c>
      <c r="B107" t="s">
        <v>283</v>
      </c>
      <c r="C107" t="s">
        <v>200</v>
      </c>
      <c r="D107" s="12">
        <v>0</v>
      </c>
    </row>
    <row r="108" spans="1:5" x14ac:dyDescent="0.25">
      <c r="C108" t="s">
        <v>201</v>
      </c>
      <c r="D108" s="12">
        <v>1</v>
      </c>
    </row>
    <row r="109" spans="1:5" x14ac:dyDescent="0.25">
      <c r="C109" t="s">
        <v>202</v>
      </c>
      <c r="D109" s="12">
        <v>2</v>
      </c>
      <c r="E109" t="s">
        <v>204</v>
      </c>
    </row>
    <row r="110" spans="1:5" x14ac:dyDescent="0.25">
      <c r="C110" t="s">
        <v>203</v>
      </c>
      <c r="D110" s="12">
        <v>3</v>
      </c>
    </row>
    <row r="111" spans="1:5" x14ac:dyDescent="0.25">
      <c r="A111" t="s">
        <v>286</v>
      </c>
      <c r="B111" t="s">
        <v>284</v>
      </c>
      <c r="D111" s="12">
        <v>0</v>
      </c>
      <c r="E111" t="s">
        <v>208</v>
      </c>
    </row>
    <row r="112" spans="1:5" x14ac:dyDescent="0.25">
      <c r="D112" s="12">
        <v>1</v>
      </c>
      <c r="E112" t="s">
        <v>191</v>
      </c>
    </row>
    <row r="113" spans="1:5" x14ac:dyDescent="0.25">
      <c r="A113" t="s">
        <v>287</v>
      </c>
      <c r="B113" t="s">
        <v>285</v>
      </c>
      <c r="D113" s="12" t="s">
        <v>11</v>
      </c>
    </row>
    <row r="114" spans="1:5" x14ac:dyDescent="0.25">
      <c r="A114" t="s">
        <v>288</v>
      </c>
      <c r="B114" t="s">
        <v>309</v>
      </c>
      <c r="D114" s="12" t="s">
        <v>11</v>
      </c>
    </row>
    <row r="115" spans="1:5" x14ac:dyDescent="0.25">
      <c r="A115" t="s">
        <v>295</v>
      </c>
      <c r="B115" t="s">
        <v>310</v>
      </c>
      <c r="D115" s="12">
        <v>0</v>
      </c>
      <c r="E115" t="s">
        <v>289</v>
      </c>
    </row>
    <row r="116" spans="1:5" x14ac:dyDescent="0.25">
      <c r="D116" s="12">
        <v>1</v>
      </c>
      <c r="E116" t="s">
        <v>290</v>
      </c>
    </row>
    <row r="117" spans="1:5" x14ac:dyDescent="0.25">
      <c r="D117" s="12">
        <v>2</v>
      </c>
      <c r="E117" t="s">
        <v>291</v>
      </c>
    </row>
    <row r="118" spans="1:5" x14ac:dyDescent="0.25">
      <c r="A118" t="s">
        <v>296</v>
      </c>
      <c r="B118" t="s">
        <v>303</v>
      </c>
      <c r="C118" t="s">
        <v>200</v>
      </c>
      <c r="D118" s="12">
        <v>0</v>
      </c>
    </row>
    <row r="119" spans="1:5" x14ac:dyDescent="0.25">
      <c r="C119" t="s">
        <v>201</v>
      </c>
      <c r="D119" s="12">
        <v>1</v>
      </c>
    </row>
    <row r="120" spans="1:5" x14ac:dyDescent="0.25">
      <c r="C120" t="s">
        <v>202</v>
      </c>
      <c r="D120" s="12">
        <v>2</v>
      </c>
      <c r="E120" t="s">
        <v>204</v>
      </c>
    </row>
    <row r="121" spans="1:5" x14ac:dyDescent="0.25">
      <c r="C121" t="s">
        <v>203</v>
      </c>
      <c r="D121" s="12">
        <v>3</v>
      </c>
    </row>
    <row r="122" spans="1:5" x14ac:dyDescent="0.25">
      <c r="A122" t="s">
        <v>297</v>
      </c>
      <c r="B122" t="s">
        <v>304</v>
      </c>
      <c r="D122" s="12">
        <v>0</v>
      </c>
      <c r="E122" t="s">
        <v>208</v>
      </c>
    </row>
    <row r="123" spans="1:5" x14ac:dyDescent="0.25">
      <c r="D123" s="12">
        <v>1</v>
      </c>
      <c r="E123" t="s">
        <v>191</v>
      </c>
    </row>
    <row r="124" spans="1:5" x14ac:dyDescent="0.25">
      <c r="A124" t="s">
        <v>298</v>
      </c>
      <c r="B124" t="s">
        <v>305</v>
      </c>
      <c r="D124" s="12" t="s">
        <v>11</v>
      </c>
    </row>
    <row r="125" spans="1:5" x14ac:dyDescent="0.25">
      <c r="A125" t="s">
        <v>299</v>
      </c>
      <c r="B125" t="s">
        <v>306</v>
      </c>
      <c r="D125" s="12" t="s">
        <v>11</v>
      </c>
      <c r="E125" t="s">
        <v>307</v>
      </c>
    </row>
    <row r="126" spans="1:5" x14ac:dyDescent="0.25">
      <c r="A126" t="s">
        <v>300</v>
      </c>
      <c r="B126" t="s">
        <v>311</v>
      </c>
      <c r="D126" s="12" t="s">
        <v>11</v>
      </c>
    </row>
    <row r="127" spans="1:5" x14ac:dyDescent="0.25">
      <c r="A127" s="11" t="s">
        <v>113</v>
      </c>
      <c r="B127" t="s">
        <v>481</v>
      </c>
      <c r="C127" t="s">
        <v>292</v>
      </c>
      <c r="D127" s="12" t="s">
        <v>480</v>
      </c>
      <c r="E127" t="s">
        <v>293</v>
      </c>
    </row>
    <row r="128" spans="1:5" x14ac:dyDescent="0.25">
      <c r="A128" s="11" t="s">
        <v>114</v>
      </c>
      <c r="C128" t="s">
        <v>292</v>
      </c>
      <c r="D128" s="12" t="s">
        <v>480</v>
      </c>
      <c r="E128" t="s">
        <v>293</v>
      </c>
    </row>
    <row r="129" spans="1:5" x14ac:dyDescent="0.25">
      <c r="A129" s="11" t="s">
        <v>115</v>
      </c>
      <c r="C129" t="s">
        <v>292</v>
      </c>
      <c r="D129" s="12" t="s">
        <v>480</v>
      </c>
      <c r="E129" t="s">
        <v>293</v>
      </c>
    </row>
    <row r="130" spans="1:5" x14ac:dyDescent="0.25">
      <c r="A130" s="11" t="s">
        <v>116</v>
      </c>
      <c r="C130" t="s">
        <v>292</v>
      </c>
      <c r="D130" s="12" t="s">
        <v>480</v>
      </c>
      <c r="E130" t="s">
        <v>293</v>
      </c>
    </row>
    <row r="131" spans="1:5" x14ac:dyDescent="0.25">
      <c r="A131" s="11" t="s">
        <v>117</v>
      </c>
      <c r="C131" t="s">
        <v>292</v>
      </c>
      <c r="D131" s="12" t="s">
        <v>480</v>
      </c>
      <c r="E131" t="s">
        <v>293</v>
      </c>
    </row>
    <row r="132" spans="1:5" x14ac:dyDescent="0.25">
      <c r="A132" s="11" t="s">
        <v>118</v>
      </c>
      <c r="B132" t="s">
        <v>482</v>
      </c>
      <c r="C132" t="s">
        <v>292</v>
      </c>
      <c r="D132" s="12" t="s">
        <v>480</v>
      </c>
      <c r="E132" t="s">
        <v>293</v>
      </c>
    </row>
    <row r="133" spans="1:5" x14ac:dyDescent="0.25">
      <c r="A133" s="11" t="s">
        <v>119</v>
      </c>
      <c r="C133" t="s">
        <v>292</v>
      </c>
      <c r="D133" s="12" t="s">
        <v>480</v>
      </c>
      <c r="E133" t="s">
        <v>293</v>
      </c>
    </row>
    <row r="134" spans="1:5" x14ac:dyDescent="0.25">
      <c r="A134" s="11" t="s">
        <v>120</v>
      </c>
      <c r="C134" t="s">
        <v>292</v>
      </c>
      <c r="D134" s="12" t="s">
        <v>480</v>
      </c>
      <c r="E134" t="s">
        <v>293</v>
      </c>
    </row>
    <row r="135" spans="1:5" x14ac:dyDescent="0.25">
      <c r="A135" s="11" t="s">
        <v>121</v>
      </c>
      <c r="C135" t="s">
        <v>292</v>
      </c>
      <c r="D135" s="12" t="s">
        <v>480</v>
      </c>
      <c r="E135" t="s">
        <v>293</v>
      </c>
    </row>
    <row r="136" spans="1:5" x14ac:dyDescent="0.25">
      <c r="A136" s="11" t="s">
        <v>122</v>
      </c>
      <c r="B136" t="s">
        <v>477</v>
      </c>
      <c r="C136" t="s">
        <v>292</v>
      </c>
      <c r="D136" s="12" t="s">
        <v>480</v>
      </c>
      <c r="E136" t="s">
        <v>293</v>
      </c>
    </row>
    <row r="137" spans="1:5" x14ac:dyDescent="0.25">
      <c r="A137" s="11" t="s">
        <v>124</v>
      </c>
      <c r="C137" t="s">
        <v>292</v>
      </c>
      <c r="D137" s="12" t="s">
        <v>480</v>
      </c>
      <c r="E137" t="s">
        <v>293</v>
      </c>
    </row>
    <row r="138" spans="1:5" x14ac:dyDescent="0.25">
      <c r="A138" s="11" t="s">
        <v>123</v>
      </c>
      <c r="C138" t="s">
        <v>292</v>
      </c>
      <c r="D138" s="12" t="s">
        <v>480</v>
      </c>
      <c r="E138" t="s">
        <v>293</v>
      </c>
    </row>
    <row r="139" spans="1:5" x14ac:dyDescent="0.25">
      <c r="A139" s="11" t="s">
        <v>125</v>
      </c>
      <c r="B139" t="s">
        <v>476</v>
      </c>
      <c r="C139" t="s">
        <v>292</v>
      </c>
      <c r="D139" s="12" t="s">
        <v>480</v>
      </c>
      <c r="E139" t="s">
        <v>293</v>
      </c>
    </row>
    <row r="140" spans="1:5" x14ac:dyDescent="0.25">
      <c r="A140" s="11" t="s">
        <v>126</v>
      </c>
      <c r="C140" t="s">
        <v>292</v>
      </c>
      <c r="D140" s="12" t="s">
        <v>480</v>
      </c>
      <c r="E140" t="s">
        <v>293</v>
      </c>
    </row>
    <row r="141" spans="1:5" x14ac:dyDescent="0.25">
      <c r="A141" s="11" t="s">
        <v>127</v>
      </c>
      <c r="C141" t="s">
        <v>292</v>
      </c>
      <c r="D141" s="12" t="s">
        <v>480</v>
      </c>
      <c r="E141" t="s">
        <v>293</v>
      </c>
    </row>
    <row r="142" spans="1:5" x14ac:dyDescent="0.25">
      <c r="A142" s="11" t="s">
        <v>128</v>
      </c>
      <c r="C142" t="s">
        <v>292</v>
      </c>
      <c r="D142" s="12" t="s">
        <v>480</v>
      </c>
      <c r="E142" t="s">
        <v>293</v>
      </c>
    </row>
    <row r="143" spans="1:5" x14ac:dyDescent="0.25">
      <c r="A143" s="11" t="s">
        <v>129</v>
      </c>
      <c r="C143" t="s">
        <v>292</v>
      </c>
      <c r="D143" s="12" t="s">
        <v>480</v>
      </c>
      <c r="E143" t="s">
        <v>293</v>
      </c>
    </row>
    <row r="144" spans="1:5" x14ac:dyDescent="0.25">
      <c r="A144" s="11" t="s">
        <v>130</v>
      </c>
      <c r="B144" t="s">
        <v>478</v>
      </c>
      <c r="C144" t="s">
        <v>292</v>
      </c>
      <c r="D144" s="12" t="s">
        <v>480</v>
      </c>
      <c r="E144" t="s">
        <v>293</v>
      </c>
    </row>
    <row r="145" spans="1:5" x14ac:dyDescent="0.25">
      <c r="A145" s="11" t="s">
        <v>131</v>
      </c>
      <c r="C145" t="s">
        <v>292</v>
      </c>
      <c r="D145" s="12" t="s">
        <v>480</v>
      </c>
      <c r="E145" t="s">
        <v>293</v>
      </c>
    </row>
    <row r="146" spans="1:5" x14ac:dyDescent="0.25">
      <c r="A146" s="11" t="s">
        <v>132</v>
      </c>
      <c r="C146" t="s">
        <v>292</v>
      </c>
      <c r="D146" s="12" t="s">
        <v>480</v>
      </c>
      <c r="E146" t="s">
        <v>293</v>
      </c>
    </row>
    <row r="147" spans="1:5" x14ac:dyDescent="0.25">
      <c r="A147" s="11" t="s">
        <v>133</v>
      </c>
      <c r="B147" t="s">
        <v>479</v>
      </c>
      <c r="C147" t="s">
        <v>292</v>
      </c>
      <c r="D147" s="12" t="s">
        <v>480</v>
      </c>
      <c r="E147" t="s">
        <v>293</v>
      </c>
    </row>
    <row r="148" spans="1:5" x14ac:dyDescent="0.25">
      <c r="A148" s="11" t="s">
        <v>134</v>
      </c>
      <c r="C148" t="s">
        <v>292</v>
      </c>
      <c r="D148" s="12" t="s">
        <v>480</v>
      </c>
      <c r="E148" t="s">
        <v>293</v>
      </c>
    </row>
    <row r="149" spans="1:5" x14ac:dyDescent="0.25">
      <c r="A149" s="11" t="s">
        <v>135</v>
      </c>
      <c r="C149" t="s">
        <v>292</v>
      </c>
      <c r="D149" s="12" t="s">
        <v>480</v>
      </c>
      <c r="E149" t="s">
        <v>293</v>
      </c>
    </row>
    <row r="150" spans="1:5" x14ac:dyDescent="0.25">
      <c r="A150" s="11" t="s">
        <v>136</v>
      </c>
      <c r="C150" t="s">
        <v>292</v>
      </c>
      <c r="D150" s="12" t="s">
        <v>480</v>
      </c>
      <c r="E150" t="s">
        <v>293</v>
      </c>
    </row>
    <row r="151" spans="1:5" x14ac:dyDescent="0.25">
      <c r="A151" s="11" t="s">
        <v>137</v>
      </c>
      <c r="C151" t="s">
        <v>292</v>
      </c>
      <c r="D151" s="12" t="s">
        <v>480</v>
      </c>
      <c r="E151" t="s">
        <v>293</v>
      </c>
    </row>
    <row r="152" spans="1:5" x14ac:dyDescent="0.25">
      <c r="A152" s="11" t="s">
        <v>138</v>
      </c>
      <c r="B152" t="s">
        <v>483</v>
      </c>
      <c r="C152" t="s">
        <v>292</v>
      </c>
      <c r="D152" s="12" t="s">
        <v>480</v>
      </c>
      <c r="E152" t="s">
        <v>293</v>
      </c>
    </row>
    <row r="153" spans="1:5" x14ac:dyDescent="0.25">
      <c r="A153" s="11" t="s">
        <v>139</v>
      </c>
      <c r="C153" t="s">
        <v>292</v>
      </c>
      <c r="D153" s="12" t="s">
        <v>480</v>
      </c>
      <c r="E153" t="s">
        <v>293</v>
      </c>
    </row>
    <row r="154" spans="1:5" x14ac:dyDescent="0.25">
      <c r="A154" s="11" t="s">
        <v>140</v>
      </c>
      <c r="C154" t="s">
        <v>292</v>
      </c>
      <c r="D154" s="12" t="s">
        <v>480</v>
      </c>
      <c r="E154" t="s">
        <v>293</v>
      </c>
    </row>
    <row r="155" spans="1:5" x14ac:dyDescent="0.25">
      <c r="A155" s="11" t="s">
        <v>141</v>
      </c>
      <c r="C155" t="s">
        <v>292</v>
      </c>
      <c r="D155" s="12" t="s">
        <v>480</v>
      </c>
      <c r="E155" t="s">
        <v>293</v>
      </c>
    </row>
    <row r="156" spans="1:5" x14ac:dyDescent="0.25">
      <c r="A156" s="11" t="s">
        <v>142</v>
      </c>
      <c r="C156" t="s">
        <v>292</v>
      </c>
      <c r="D156" s="12" t="s">
        <v>480</v>
      </c>
      <c r="E156" t="s">
        <v>293</v>
      </c>
    </row>
  </sheetData>
  <phoneticPr fontId="5" type="noConversion"/>
  <printOptions gridLines="1"/>
  <pageMargins left="0.70866141732283472" right="0.70866141732283472" top="0.74803149606299213" bottom="0.74803149606299213" header="0.31496062992125984" footer="0.31496062992125984"/>
  <pageSetup paperSize="9" scale="79" fitToHeight="2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7"/>
  <sheetViews>
    <sheetView workbookViewId="0">
      <selection activeCell="E25" sqref="E25"/>
    </sheetView>
  </sheetViews>
  <sheetFormatPr defaultColWidth="11.42578125" defaultRowHeight="15" x14ac:dyDescent="0.25"/>
  <cols>
    <col min="1" max="1" width="48.7109375" bestFit="1" customWidth="1"/>
    <col min="2" max="2" width="17.85546875" bestFit="1" customWidth="1"/>
    <col min="4" max="4" width="17.140625" bestFit="1" customWidth="1"/>
    <col min="5" max="5" width="15.140625" bestFit="1" customWidth="1"/>
  </cols>
  <sheetData>
    <row r="1" spans="1:5" x14ac:dyDescent="0.25">
      <c r="A1" t="s">
        <v>426</v>
      </c>
      <c r="B1" t="s">
        <v>432</v>
      </c>
      <c r="D1" t="s">
        <v>433</v>
      </c>
      <c r="E1" t="s">
        <v>435</v>
      </c>
    </row>
    <row r="2" spans="1:5" x14ac:dyDescent="0.25">
      <c r="B2" t="s">
        <v>431</v>
      </c>
      <c r="D2" t="s">
        <v>434</v>
      </c>
      <c r="E2" t="s">
        <v>437</v>
      </c>
    </row>
    <row r="3" spans="1:5" x14ac:dyDescent="0.25">
      <c r="B3" t="s">
        <v>427</v>
      </c>
    </row>
    <row r="4" spans="1:5" x14ac:dyDescent="0.25">
      <c r="B4" t="s">
        <v>428</v>
      </c>
    </row>
    <row r="5" spans="1:5" x14ac:dyDescent="0.25">
      <c r="B5" t="s">
        <v>429</v>
      </c>
    </row>
    <row r="6" spans="1:5" x14ac:dyDescent="0.25">
      <c r="B6" t="s">
        <v>430</v>
      </c>
    </row>
    <row r="7" spans="1:5" x14ac:dyDescent="0.25">
      <c r="B7" t="s">
        <v>9</v>
      </c>
    </row>
    <row r="11" spans="1:5" x14ac:dyDescent="0.25">
      <c r="D11" t="s">
        <v>439</v>
      </c>
    </row>
    <row r="12" spans="1:5" x14ac:dyDescent="0.25">
      <c r="A12" t="s">
        <v>436</v>
      </c>
    </row>
    <row r="22" spans="4:4" x14ac:dyDescent="0.25">
      <c r="D22" t="s">
        <v>438</v>
      </c>
    </row>
    <row r="27" spans="4:4" x14ac:dyDescent="0.25">
      <c r="D27" t="s">
        <v>440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O71"/>
  <sheetViews>
    <sheetView tabSelected="1" workbookViewId="0">
      <pane xSplit="1" ySplit="1" topLeftCell="CJ2" activePane="bottomRight" state="frozen"/>
      <selection pane="topRight" activeCell="B1" sqref="B1"/>
      <selection pane="bottomLeft" activeCell="A2" sqref="A2"/>
      <selection pane="bottomRight" activeCell="BV20" sqref="BV20"/>
    </sheetView>
  </sheetViews>
  <sheetFormatPr defaultColWidth="8.85546875" defaultRowHeight="15" x14ac:dyDescent="0.25"/>
  <sheetData>
    <row r="1" spans="1:93" x14ac:dyDescent="0.25">
      <c r="A1" s="21" t="s">
        <v>441</v>
      </c>
      <c r="B1" s="21" t="s">
        <v>442</v>
      </c>
      <c r="C1" t="s">
        <v>162</v>
      </c>
      <c r="D1" t="s">
        <v>163</v>
      </c>
      <c r="E1" t="s">
        <v>164</v>
      </c>
      <c r="F1" t="s">
        <v>165</v>
      </c>
      <c r="G1" t="s">
        <v>182</v>
      </c>
      <c r="H1" t="s">
        <v>183</v>
      </c>
      <c r="I1" t="s">
        <v>189</v>
      </c>
      <c r="J1" t="s">
        <v>194</v>
      </c>
      <c r="K1" t="s">
        <v>199</v>
      </c>
      <c r="L1" t="s">
        <v>205</v>
      </c>
      <c r="M1" t="s">
        <v>206</v>
      </c>
      <c r="N1" t="s">
        <v>209</v>
      </c>
      <c r="O1" t="s">
        <v>210</v>
      </c>
      <c r="P1" t="s">
        <v>211</v>
      </c>
      <c r="Q1" t="s">
        <v>212</v>
      </c>
      <c r="R1" t="s">
        <v>213</v>
      </c>
      <c r="S1" t="s">
        <v>215</v>
      </c>
      <c r="T1" t="s">
        <v>216</v>
      </c>
      <c r="U1" t="s">
        <v>219</v>
      </c>
      <c r="V1" t="s">
        <v>221</v>
      </c>
      <c r="W1" t="s">
        <v>222</v>
      </c>
      <c r="X1" t="s">
        <v>225</v>
      </c>
      <c r="Y1" t="s">
        <v>229</v>
      </c>
      <c r="Z1" t="s">
        <v>230</v>
      </c>
      <c r="AA1" t="s">
        <v>231</v>
      </c>
      <c r="AB1" t="s">
        <v>233</v>
      </c>
      <c r="AC1" t="s">
        <v>234</v>
      </c>
      <c r="AD1" t="s">
        <v>236</v>
      </c>
      <c r="AE1" t="s">
        <v>237</v>
      </c>
      <c r="AF1" t="s">
        <v>238</v>
      </c>
      <c r="AG1" t="s">
        <v>241</v>
      </c>
      <c r="AH1" t="s">
        <v>246</v>
      </c>
      <c r="AI1" t="s">
        <v>248</v>
      </c>
      <c r="AJ1" t="s">
        <v>250</v>
      </c>
      <c r="AK1" t="s">
        <v>252</v>
      </c>
      <c r="AL1" t="s">
        <v>253</v>
      </c>
      <c r="AM1" t="s">
        <v>254</v>
      </c>
      <c r="AN1" t="s">
        <v>257</v>
      </c>
      <c r="AO1" t="s">
        <v>258</v>
      </c>
      <c r="AP1" t="s">
        <v>259</v>
      </c>
      <c r="AQ1" t="s">
        <v>262</v>
      </c>
      <c r="AR1" t="s">
        <v>263</v>
      </c>
      <c r="AS1" t="s">
        <v>264</v>
      </c>
      <c r="AT1" t="s">
        <v>268</v>
      </c>
      <c r="AU1" t="s">
        <v>269</v>
      </c>
      <c r="AV1" t="s">
        <v>270</v>
      </c>
      <c r="AW1" t="s">
        <v>274</v>
      </c>
      <c r="AX1" t="s">
        <v>275</v>
      </c>
      <c r="AY1" t="s">
        <v>276</v>
      </c>
      <c r="AZ1" t="s">
        <v>280</v>
      </c>
      <c r="BA1" t="s">
        <v>281</v>
      </c>
      <c r="BB1" t="s">
        <v>282</v>
      </c>
      <c r="BC1" t="s">
        <v>286</v>
      </c>
      <c r="BD1" t="s">
        <v>287</v>
      </c>
      <c r="BE1" t="s">
        <v>288</v>
      </c>
      <c r="BF1" t="s">
        <v>295</v>
      </c>
      <c r="BG1" t="s">
        <v>296</v>
      </c>
      <c r="BH1" t="s">
        <v>297</v>
      </c>
      <c r="BI1" t="s">
        <v>298</v>
      </c>
      <c r="BJ1" t="s">
        <v>299</v>
      </c>
      <c r="BK1" t="s">
        <v>300</v>
      </c>
      <c r="BL1" t="s">
        <v>113</v>
      </c>
      <c r="BM1" t="s">
        <v>114</v>
      </c>
      <c r="BN1" t="s">
        <v>115</v>
      </c>
      <c r="BO1" t="s">
        <v>116</v>
      </c>
      <c r="BP1" t="s">
        <v>117</v>
      </c>
      <c r="BQ1" t="s">
        <v>118</v>
      </c>
      <c r="BR1" t="s">
        <v>119</v>
      </c>
      <c r="BS1" t="s">
        <v>120</v>
      </c>
      <c r="BT1" t="s">
        <v>121</v>
      </c>
      <c r="BU1" t="s">
        <v>122</v>
      </c>
      <c r="BV1" t="s">
        <v>124</v>
      </c>
      <c r="BW1" t="s">
        <v>123</v>
      </c>
      <c r="BX1" t="s">
        <v>125</v>
      </c>
      <c r="BY1" t="s">
        <v>126</v>
      </c>
      <c r="BZ1" t="s">
        <v>127</v>
      </c>
      <c r="CA1" t="s">
        <v>128</v>
      </c>
      <c r="CB1" t="s">
        <v>129</v>
      </c>
      <c r="CC1" t="s">
        <v>130</v>
      </c>
      <c r="CD1" t="s">
        <v>131</v>
      </c>
      <c r="CE1" t="s">
        <v>132</v>
      </c>
      <c r="CF1" t="s">
        <v>133</v>
      </c>
      <c r="CG1" t="s">
        <v>134</v>
      </c>
      <c r="CH1" t="s">
        <v>135</v>
      </c>
      <c r="CI1" t="s">
        <v>136</v>
      </c>
      <c r="CJ1" t="s">
        <v>137</v>
      </c>
      <c r="CK1" t="s">
        <v>138</v>
      </c>
      <c r="CL1" t="s">
        <v>139</v>
      </c>
      <c r="CM1" t="s">
        <v>140</v>
      </c>
      <c r="CN1" t="s">
        <v>141</v>
      </c>
      <c r="CO1" t="s">
        <v>142</v>
      </c>
    </row>
    <row r="2" spans="1:93" x14ac:dyDescent="0.25">
      <c r="A2" s="22" t="s">
        <v>113</v>
      </c>
      <c r="B2" s="22">
        <v>0</v>
      </c>
      <c r="C2" s="12">
        <v>57</v>
      </c>
      <c r="D2" s="12">
        <v>1</v>
      </c>
      <c r="E2" s="12">
        <v>0</v>
      </c>
      <c r="F2" s="12">
        <v>0</v>
      </c>
      <c r="G2" s="12">
        <v>2</v>
      </c>
      <c r="H2" s="12">
        <v>0</v>
      </c>
      <c r="I2" s="12">
        <v>1</v>
      </c>
      <c r="J2" s="12"/>
      <c r="K2" s="12">
        <v>2</v>
      </c>
      <c r="L2" s="12">
        <v>37</v>
      </c>
      <c r="M2" s="12">
        <f>IF(K2=2,1,0)</f>
        <v>1</v>
      </c>
      <c r="N2" s="12">
        <v>4</v>
      </c>
      <c r="O2" s="12">
        <v>10</v>
      </c>
      <c r="P2" s="12">
        <v>8</v>
      </c>
      <c r="Q2" s="12">
        <v>6</v>
      </c>
      <c r="R2" s="12">
        <v>4</v>
      </c>
      <c r="S2" s="12">
        <f>IF(R2=4,1,0)</f>
        <v>1</v>
      </c>
      <c r="T2" s="12">
        <v>27</v>
      </c>
      <c r="U2" s="12">
        <v>6</v>
      </c>
      <c r="V2" s="12">
        <f>IF(U2=6,1,0)</f>
        <v>1</v>
      </c>
      <c r="W2" s="12">
        <v>8</v>
      </c>
      <c r="X2" s="12">
        <v>2000</v>
      </c>
      <c r="Y2" s="12">
        <f>IF(X2=2000,1,0)</f>
        <v>1</v>
      </c>
      <c r="Z2" s="12">
        <v>8</v>
      </c>
      <c r="AA2" s="12">
        <v>2524.9499999999998</v>
      </c>
      <c r="AB2" s="12">
        <f>IF(AA2=2524.95,1,0)</f>
        <v>1</v>
      </c>
      <c r="AC2" s="12">
        <v>128</v>
      </c>
      <c r="AD2" s="12">
        <v>1980.23</v>
      </c>
      <c r="AE2" s="12">
        <f>IF(AD2=1980.23,1,0)</f>
        <v>1</v>
      </c>
      <c r="AF2" s="12">
        <v>39</v>
      </c>
      <c r="AG2" s="12">
        <v>1</v>
      </c>
      <c r="AH2" s="12">
        <f>IF(AG2=1,1,0)</f>
        <v>1</v>
      </c>
      <c r="AI2" s="12">
        <v>11</v>
      </c>
      <c r="AJ2" s="12">
        <v>0</v>
      </c>
      <c r="AK2" s="12">
        <f>IF(AJ2=0,1,0)</f>
        <v>1</v>
      </c>
      <c r="AL2" s="12">
        <v>12</v>
      </c>
      <c r="AM2" s="12">
        <v>0</v>
      </c>
      <c r="AN2" s="12">
        <f>IF(AM2=0,1,0)</f>
        <v>1</v>
      </c>
      <c r="AO2" s="12">
        <v>19</v>
      </c>
      <c r="AP2" s="12">
        <v>0</v>
      </c>
      <c r="AQ2" s="12">
        <f>IF(AP2=0,1,0)</f>
        <v>1</v>
      </c>
      <c r="AR2" s="12">
        <v>22</v>
      </c>
      <c r="AS2" s="12">
        <v>2</v>
      </c>
      <c r="AT2" s="12">
        <f>IF(AS2=2,1,0)</f>
        <v>1</v>
      </c>
      <c r="AU2" s="12">
        <v>13</v>
      </c>
      <c r="AV2" s="12">
        <v>1</v>
      </c>
      <c r="AW2" s="12">
        <f>IF(AV2=1,1,0)</f>
        <v>1</v>
      </c>
      <c r="AX2" s="12">
        <v>5</v>
      </c>
      <c r="AY2" s="12">
        <v>3</v>
      </c>
      <c r="AZ2" s="12">
        <f>IF(AY2=3,1,0)</f>
        <v>1</v>
      </c>
      <c r="BA2" s="12">
        <v>20</v>
      </c>
      <c r="BB2" s="12">
        <v>2</v>
      </c>
      <c r="BC2" s="12">
        <f>IF(BB2=2,1,0)</f>
        <v>1</v>
      </c>
      <c r="BD2" s="12">
        <v>32</v>
      </c>
      <c r="BE2" s="12">
        <f>L2-BD2</f>
        <v>5</v>
      </c>
      <c r="BF2" s="12"/>
      <c r="BG2" s="12">
        <v>2</v>
      </c>
      <c r="BH2" s="12">
        <f>IF(BG2=2,1,0)</f>
        <v>1</v>
      </c>
      <c r="BI2" s="12">
        <v>154</v>
      </c>
      <c r="BJ2" s="12">
        <f>S2+V2+Y2+AB2+AE2+AH2+AK2+AN2+AQ2+AT2+AW2+AZ2+BC2+BH2</f>
        <v>14</v>
      </c>
      <c r="BK2" s="12">
        <f>T2+W2+Z2+AC2+AF2+AI2+AL2+AL2+AO2+AR2+AU2+AX2+BD2+BI2</f>
        <v>490</v>
      </c>
      <c r="BL2" s="12">
        <v>4</v>
      </c>
      <c r="BM2" s="12">
        <v>0</v>
      </c>
      <c r="BN2" s="12">
        <v>0</v>
      </c>
      <c r="BO2" s="12">
        <v>2</v>
      </c>
      <c r="BP2" s="12">
        <v>4</v>
      </c>
      <c r="BQ2" s="12">
        <v>4</v>
      </c>
      <c r="BR2" s="12">
        <v>3</v>
      </c>
      <c r="BS2" s="12">
        <v>3</v>
      </c>
      <c r="BT2" s="12">
        <v>1</v>
      </c>
      <c r="BU2" s="12">
        <v>0</v>
      </c>
      <c r="BV2" s="12">
        <v>0</v>
      </c>
      <c r="BW2" s="12">
        <v>3</v>
      </c>
      <c r="BX2" s="12">
        <v>1</v>
      </c>
      <c r="BY2" s="12">
        <v>1</v>
      </c>
      <c r="BZ2" s="12">
        <v>1</v>
      </c>
      <c r="CA2" s="12">
        <v>2</v>
      </c>
      <c r="CB2" s="12">
        <v>1</v>
      </c>
      <c r="CC2" s="12">
        <v>3</v>
      </c>
      <c r="CD2" s="12">
        <v>4</v>
      </c>
      <c r="CE2" s="12">
        <v>0</v>
      </c>
      <c r="CF2" s="12">
        <v>0</v>
      </c>
      <c r="CG2" s="12">
        <v>0</v>
      </c>
      <c r="CH2" s="12">
        <v>0</v>
      </c>
      <c r="CI2" s="12">
        <v>0</v>
      </c>
      <c r="CJ2" s="12">
        <v>0</v>
      </c>
      <c r="CK2" s="12">
        <v>3</v>
      </c>
      <c r="CL2" s="12">
        <v>3</v>
      </c>
      <c r="CM2" s="12">
        <v>1</v>
      </c>
      <c r="CN2" s="12">
        <v>1</v>
      </c>
      <c r="CO2" s="12">
        <v>1</v>
      </c>
    </row>
    <row r="3" spans="1:93" x14ac:dyDescent="0.25">
      <c r="A3" s="22" t="s">
        <v>316</v>
      </c>
      <c r="B3" s="22">
        <v>0</v>
      </c>
      <c r="C3" s="12">
        <v>34</v>
      </c>
      <c r="D3" s="12">
        <v>0</v>
      </c>
      <c r="E3" s="12">
        <v>1</v>
      </c>
      <c r="F3" s="12">
        <v>1</v>
      </c>
      <c r="G3" s="12">
        <v>2</v>
      </c>
      <c r="H3" s="12">
        <v>1</v>
      </c>
      <c r="I3" s="12">
        <v>0</v>
      </c>
      <c r="J3" s="12">
        <v>1</v>
      </c>
      <c r="K3" s="12">
        <v>2</v>
      </c>
      <c r="L3" s="12">
        <v>105</v>
      </c>
      <c r="M3" s="12">
        <f>IF(K3=2,1,0)</f>
        <v>1</v>
      </c>
      <c r="N3" s="12">
        <v>4</v>
      </c>
      <c r="O3" s="12">
        <v>5</v>
      </c>
      <c r="P3" s="12">
        <v>7</v>
      </c>
      <c r="Q3" s="12">
        <v>8</v>
      </c>
      <c r="R3" s="12">
        <v>4</v>
      </c>
      <c r="S3" s="12">
        <f>IF(R3=4,1,0)</f>
        <v>1</v>
      </c>
      <c r="T3" s="12">
        <v>108</v>
      </c>
      <c r="U3" s="12">
        <v>0.06</v>
      </c>
      <c r="V3" s="12">
        <v>1</v>
      </c>
      <c r="W3" s="12">
        <v>102</v>
      </c>
      <c r="X3" s="12">
        <v>2000</v>
      </c>
      <c r="Y3" s="12">
        <f>IF(X3=2000,1,0)</f>
        <v>1</v>
      </c>
      <c r="Z3" s="12">
        <v>13</v>
      </c>
      <c r="AA3" s="12">
        <v>8480</v>
      </c>
      <c r="AB3" s="12">
        <f>IF(AA3=2524.95,1,0)</f>
        <v>0</v>
      </c>
      <c r="AC3" s="12">
        <v>276</v>
      </c>
      <c r="AD3" s="12">
        <v>1980.2</v>
      </c>
      <c r="AE3" s="12">
        <v>1</v>
      </c>
      <c r="AF3" s="12">
        <v>303</v>
      </c>
      <c r="AG3" s="12">
        <v>0</v>
      </c>
      <c r="AH3" s="12">
        <f>IF(AG3=1,1,0)</f>
        <v>0</v>
      </c>
      <c r="AI3" s="12">
        <v>24</v>
      </c>
      <c r="AJ3" s="12">
        <v>0</v>
      </c>
      <c r="AK3" s="12">
        <f>IF(AJ3=0,1,0)</f>
        <v>1</v>
      </c>
      <c r="AL3" s="12">
        <v>30</v>
      </c>
      <c r="AM3" s="12">
        <v>0</v>
      </c>
      <c r="AN3" s="12">
        <f>IF(AM3=0,1,0)</f>
        <v>1</v>
      </c>
      <c r="AO3" s="12">
        <v>78</v>
      </c>
      <c r="AP3" s="12">
        <v>0</v>
      </c>
      <c r="AQ3" s="12">
        <f>IF(AP3=0,1,0)</f>
        <v>1</v>
      </c>
      <c r="AR3" s="12">
        <v>30</v>
      </c>
      <c r="AS3" s="12">
        <v>1</v>
      </c>
      <c r="AT3" s="12">
        <f>IF(AS3=2,1,0)</f>
        <v>0</v>
      </c>
      <c r="AU3" s="12">
        <v>67</v>
      </c>
      <c r="AV3" s="12">
        <v>1</v>
      </c>
      <c r="AW3" s="12">
        <f>IF(AV3=1,1,0)</f>
        <v>1</v>
      </c>
      <c r="AX3" s="12">
        <v>13</v>
      </c>
      <c r="AY3" s="12">
        <v>3</v>
      </c>
      <c r="AZ3" s="12">
        <f>IF(AY3=3,1,0)</f>
        <v>1</v>
      </c>
      <c r="BA3" s="12">
        <v>242</v>
      </c>
      <c r="BB3" s="12">
        <v>2</v>
      </c>
      <c r="BC3" s="12">
        <f>IF(BB3=2,1,0)</f>
        <v>1</v>
      </c>
      <c r="BD3" s="12">
        <v>125</v>
      </c>
      <c r="BE3" s="12">
        <f>L3-BD3</f>
        <v>-20</v>
      </c>
      <c r="BF3" s="12"/>
      <c r="BG3" s="12">
        <v>2</v>
      </c>
      <c r="BH3" s="12">
        <f>IF(BG3=2,1,0)</f>
        <v>1</v>
      </c>
      <c r="BI3" s="12">
        <v>288</v>
      </c>
      <c r="BJ3" s="12">
        <f>S3+V3+Y3+AB3+AE3+AH3+AK3+AN3+AQ3+AT3+AW3+AZ3+BC3+BH3</f>
        <v>11</v>
      </c>
      <c r="BK3" s="12">
        <f>T3+W3+Z3+AC3+AF3+AI3+AL3+AL3+AO3+AR3+AU3+AX3+BD3+BI3</f>
        <v>1487</v>
      </c>
      <c r="BL3" s="12">
        <v>4</v>
      </c>
      <c r="BM3" s="12">
        <v>4</v>
      </c>
      <c r="BN3" s="12">
        <v>4</v>
      </c>
      <c r="BO3" s="12">
        <v>4</v>
      </c>
      <c r="BP3" s="12">
        <v>4</v>
      </c>
      <c r="BQ3" s="12">
        <v>4</v>
      </c>
      <c r="BR3" s="12">
        <v>4</v>
      </c>
      <c r="BS3" s="12">
        <v>4</v>
      </c>
      <c r="BT3" s="12">
        <v>4</v>
      </c>
      <c r="BU3" s="12">
        <v>2</v>
      </c>
      <c r="BV3" s="12">
        <v>4</v>
      </c>
      <c r="BW3" s="12">
        <v>4</v>
      </c>
      <c r="BX3" s="12">
        <v>4</v>
      </c>
      <c r="BY3" s="12">
        <v>4</v>
      </c>
      <c r="BZ3" s="12">
        <v>4</v>
      </c>
      <c r="CA3" s="12">
        <v>4</v>
      </c>
      <c r="CB3" s="12">
        <v>4</v>
      </c>
      <c r="CC3" s="12">
        <v>4</v>
      </c>
      <c r="CD3" s="12">
        <v>4</v>
      </c>
      <c r="CE3" s="12">
        <v>4</v>
      </c>
      <c r="CF3" s="12">
        <v>4</v>
      </c>
      <c r="CG3" s="12">
        <v>4</v>
      </c>
      <c r="CH3" s="12">
        <v>4</v>
      </c>
      <c r="CI3" s="12">
        <v>4</v>
      </c>
      <c r="CJ3" s="12">
        <v>2</v>
      </c>
      <c r="CK3" s="12">
        <v>4</v>
      </c>
      <c r="CL3" s="12">
        <v>3</v>
      </c>
      <c r="CM3" s="12">
        <v>3</v>
      </c>
      <c r="CN3" s="12">
        <v>3</v>
      </c>
      <c r="CO3" s="12">
        <v>4</v>
      </c>
    </row>
    <row r="4" spans="1:93" x14ac:dyDescent="0.25">
      <c r="A4" s="22" t="s">
        <v>317</v>
      </c>
      <c r="B4" s="22">
        <v>0</v>
      </c>
      <c r="C4" s="12">
        <v>30</v>
      </c>
      <c r="D4" s="12">
        <v>0</v>
      </c>
      <c r="E4" s="12">
        <v>1</v>
      </c>
      <c r="F4" s="12">
        <v>1</v>
      </c>
      <c r="G4" s="12">
        <v>2</v>
      </c>
      <c r="H4" s="12">
        <v>1</v>
      </c>
      <c r="I4" s="12">
        <v>1</v>
      </c>
      <c r="J4" s="12"/>
      <c r="K4" s="12">
        <v>0</v>
      </c>
      <c r="L4" s="12">
        <v>47</v>
      </c>
      <c r="M4" s="12">
        <f>IF(K4=2,1,0)</f>
        <v>0</v>
      </c>
      <c r="N4" s="12">
        <v>2</v>
      </c>
      <c r="O4" s="12">
        <v>10</v>
      </c>
      <c r="P4" s="12">
        <v>8</v>
      </c>
      <c r="Q4" s="12">
        <v>10</v>
      </c>
      <c r="R4" s="12">
        <v>4</v>
      </c>
      <c r="S4" s="12">
        <f>IF(R4=4,1,0)</f>
        <v>1</v>
      </c>
      <c r="T4" s="12">
        <v>27</v>
      </c>
      <c r="U4" s="12">
        <v>0.06</v>
      </c>
      <c r="V4" s="12">
        <v>1</v>
      </c>
      <c r="W4" s="12">
        <v>13</v>
      </c>
      <c r="X4" s="12">
        <v>2000</v>
      </c>
      <c r="Y4" s="12">
        <f>IF(X4=2000,1,0)</f>
        <v>1</v>
      </c>
      <c r="Z4" s="12">
        <v>7</v>
      </c>
      <c r="AA4" s="12">
        <v>2524.9499999999998</v>
      </c>
      <c r="AB4" s="12">
        <f>IF(AA4=2524.95,1,0)</f>
        <v>1</v>
      </c>
      <c r="AC4" s="12">
        <v>104</v>
      </c>
      <c r="AD4" s="12">
        <v>2011.78</v>
      </c>
      <c r="AE4" s="12">
        <f>IF(AD4=1980.23,1,0)</f>
        <v>0</v>
      </c>
      <c r="AF4" s="12">
        <v>41</v>
      </c>
      <c r="AG4" s="12">
        <v>1</v>
      </c>
      <c r="AH4" s="12">
        <f>IF(AG4=1,1,0)</f>
        <v>1</v>
      </c>
      <c r="AI4" s="12">
        <v>10</v>
      </c>
      <c r="AJ4" s="12">
        <v>0</v>
      </c>
      <c r="AK4" s="12">
        <f>IF(AJ4=0,1,0)</f>
        <v>1</v>
      </c>
      <c r="AL4" s="12">
        <v>13</v>
      </c>
      <c r="AM4" s="12">
        <v>1</v>
      </c>
      <c r="AN4" s="12">
        <f>IF(AM4=0,1,0)</f>
        <v>0</v>
      </c>
      <c r="AO4" s="12">
        <v>10</v>
      </c>
      <c r="AP4" s="12">
        <v>2</v>
      </c>
      <c r="AQ4" s="12">
        <f>IF(AP4=0,1,0)</f>
        <v>0</v>
      </c>
      <c r="AR4" s="12">
        <v>10</v>
      </c>
      <c r="AS4" s="12">
        <v>2</v>
      </c>
      <c r="AT4" s="12">
        <f>IF(AS4=2,1,0)</f>
        <v>1</v>
      </c>
      <c r="AU4" s="12">
        <v>22</v>
      </c>
      <c r="AV4" s="12">
        <v>1</v>
      </c>
      <c r="AW4" s="12">
        <f>IF(AV4=1,1,0)</f>
        <v>1</v>
      </c>
      <c r="AX4" s="12">
        <v>7</v>
      </c>
      <c r="AY4" s="12">
        <v>3</v>
      </c>
      <c r="AZ4" s="12">
        <f>IF(AY4=3,1,0)</f>
        <v>1</v>
      </c>
      <c r="BA4" s="12">
        <v>3</v>
      </c>
      <c r="BB4" s="12">
        <v>2</v>
      </c>
      <c r="BC4" s="12">
        <f>IF(BB4=2,1,0)</f>
        <v>1</v>
      </c>
      <c r="BD4" s="12">
        <v>15</v>
      </c>
      <c r="BE4" s="12">
        <f>L4-BD4</f>
        <v>32</v>
      </c>
      <c r="BF4" s="12"/>
      <c r="BG4" s="12">
        <v>1</v>
      </c>
      <c r="BH4" s="12">
        <f>IF(BG4=2,1,0)</f>
        <v>0</v>
      </c>
      <c r="BI4" s="12">
        <v>25</v>
      </c>
      <c r="BJ4" s="12">
        <f>S4+V4+Y4+AB4+AE4+AH4+AK4+AN4+AQ4+AT4+AW4+AZ4+BC4+BH4</f>
        <v>10</v>
      </c>
      <c r="BK4" s="12">
        <f>T4+W4+Z4+AC4+AF4+AI4+AL4+AL4+AO4+AR4+AU4+AX4+BD4+BI4</f>
        <v>317</v>
      </c>
      <c r="BL4" s="12">
        <v>0</v>
      </c>
      <c r="BM4" s="12">
        <v>3</v>
      </c>
      <c r="BN4" s="12">
        <v>3</v>
      </c>
      <c r="BO4" s="12">
        <v>3</v>
      </c>
      <c r="BP4" s="12">
        <v>4</v>
      </c>
      <c r="BQ4" s="12">
        <v>4</v>
      </c>
      <c r="BR4" s="12">
        <v>4</v>
      </c>
      <c r="BS4" s="12">
        <v>1</v>
      </c>
      <c r="BT4" s="12">
        <v>1</v>
      </c>
      <c r="BU4" s="12">
        <v>0</v>
      </c>
      <c r="BV4" s="12">
        <v>0</v>
      </c>
      <c r="BW4" s="12">
        <v>4</v>
      </c>
      <c r="BX4" s="12">
        <v>3</v>
      </c>
      <c r="BY4" s="12">
        <v>4</v>
      </c>
      <c r="BZ4" s="12">
        <v>4</v>
      </c>
      <c r="CA4" s="12">
        <v>4</v>
      </c>
      <c r="CB4" s="12">
        <v>4</v>
      </c>
      <c r="CC4" s="12">
        <v>3</v>
      </c>
      <c r="CD4" s="12">
        <v>4</v>
      </c>
      <c r="CE4" s="12">
        <v>4</v>
      </c>
      <c r="CF4" s="12">
        <v>1</v>
      </c>
      <c r="CG4" s="12">
        <v>1</v>
      </c>
      <c r="CH4" s="12">
        <v>3</v>
      </c>
      <c r="CI4" s="12">
        <v>3</v>
      </c>
      <c r="CJ4" s="12">
        <v>1</v>
      </c>
      <c r="CK4" s="12">
        <v>4</v>
      </c>
      <c r="CL4" s="12">
        <v>4</v>
      </c>
      <c r="CM4" s="12">
        <v>4</v>
      </c>
      <c r="CN4" s="12">
        <v>3</v>
      </c>
      <c r="CO4" s="12">
        <v>3</v>
      </c>
    </row>
    <row r="5" spans="1:93" x14ac:dyDescent="0.25">
      <c r="A5" s="22" t="s">
        <v>318</v>
      </c>
      <c r="B5" s="22">
        <v>0</v>
      </c>
      <c r="C5" s="12">
        <v>42</v>
      </c>
      <c r="D5" s="12">
        <v>0</v>
      </c>
      <c r="E5" s="12">
        <v>0</v>
      </c>
      <c r="F5" s="12">
        <v>1</v>
      </c>
      <c r="G5" s="12">
        <v>1</v>
      </c>
      <c r="H5" s="12">
        <v>1</v>
      </c>
      <c r="I5" s="12">
        <v>0</v>
      </c>
      <c r="J5" s="12">
        <v>0</v>
      </c>
      <c r="K5" s="12">
        <v>2</v>
      </c>
      <c r="L5" s="12">
        <v>329</v>
      </c>
      <c r="M5" s="12">
        <f>IF(K5=2,1,0)</f>
        <v>1</v>
      </c>
      <c r="N5" s="12">
        <v>5</v>
      </c>
      <c r="O5" s="12">
        <v>9</v>
      </c>
      <c r="P5" s="12">
        <v>5</v>
      </c>
      <c r="Q5" s="12">
        <v>8</v>
      </c>
      <c r="R5" s="12">
        <v>4</v>
      </c>
      <c r="S5" s="12">
        <f>IF(R5=4,1,0)</f>
        <v>1</v>
      </c>
      <c r="T5" s="12">
        <v>181</v>
      </c>
      <c r="U5" s="12">
        <v>6</v>
      </c>
      <c r="V5" s="12">
        <f>IF(U5=6,1,0)</f>
        <v>1</v>
      </c>
      <c r="W5" s="12">
        <v>4</v>
      </c>
      <c r="X5" s="12">
        <v>2000</v>
      </c>
      <c r="Y5" s="12">
        <f>IF(X5=2000,1,0)</f>
        <v>1</v>
      </c>
      <c r="Z5" s="12">
        <v>7</v>
      </c>
      <c r="AA5" s="12">
        <v>2524.9499999999998</v>
      </c>
      <c r="AB5" s="12">
        <f>IF(AA5=2524.95,1,0)</f>
        <v>1</v>
      </c>
      <c r="AC5" s="12">
        <v>34</v>
      </c>
      <c r="AD5" s="12">
        <v>1980.23</v>
      </c>
      <c r="AE5" s="12">
        <f>IF(AD5=1980.23,1,0)</f>
        <v>1</v>
      </c>
      <c r="AF5" s="12">
        <v>20</v>
      </c>
      <c r="AG5" s="12">
        <v>1</v>
      </c>
      <c r="AH5" s="12">
        <f>IF(AG5=1,1,0)</f>
        <v>1</v>
      </c>
      <c r="AI5" s="12">
        <v>7</v>
      </c>
      <c r="AJ5" s="12">
        <v>0</v>
      </c>
      <c r="AK5" s="12">
        <f>IF(AJ5=0,1,0)</f>
        <v>1</v>
      </c>
      <c r="AL5" s="12">
        <v>12</v>
      </c>
      <c r="AM5" s="12">
        <v>0</v>
      </c>
      <c r="AN5" s="12">
        <f>IF(AM5=0,1,0)</f>
        <v>1</v>
      </c>
      <c r="AO5" s="12">
        <v>13</v>
      </c>
      <c r="AP5" s="12">
        <v>0</v>
      </c>
      <c r="AQ5" s="12">
        <f>IF(AP5=0,1,0)</f>
        <v>1</v>
      </c>
      <c r="AR5" s="12">
        <v>17</v>
      </c>
      <c r="AS5" s="12">
        <v>2</v>
      </c>
      <c r="AT5" s="12">
        <f>IF(AS5=2,1,0)</f>
        <v>1</v>
      </c>
      <c r="AU5" s="12">
        <v>6</v>
      </c>
      <c r="AV5" s="12">
        <v>1</v>
      </c>
      <c r="AW5" s="12">
        <f>IF(AV5=1,1,0)</f>
        <v>1</v>
      </c>
      <c r="AX5" s="12">
        <v>3</v>
      </c>
      <c r="AY5" s="12">
        <v>3</v>
      </c>
      <c r="AZ5" s="12">
        <f>IF(AY5=3,1,0)</f>
        <v>1</v>
      </c>
      <c r="BA5" s="12">
        <v>20</v>
      </c>
      <c r="BB5" s="12">
        <v>2</v>
      </c>
      <c r="BC5" s="12">
        <f>IF(BB5=2,1,0)</f>
        <v>1</v>
      </c>
      <c r="BD5" s="12">
        <v>4</v>
      </c>
      <c r="BE5" s="12">
        <f>L5-BD5</f>
        <v>325</v>
      </c>
      <c r="BF5" s="12"/>
      <c r="BG5" s="12">
        <v>2</v>
      </c>
      <c r="BH5" s="12">
        <f>IF(BG5=2,1,0)</f>
        <v>1</v>
      </c>
      <c r="BI5" s="12">
        <v>118</v>
      </c>
      <c r="BJ5" s="12">
        <f>S5+V5+Y5+AB5+AE5+AH5+AK5+AN5+AQ5+AT5+AW5+AZ5+BC5+BH5</f>
        <v>14</v>
      </c>
      <c r="BK5" s="12">
        <f>T5+W5+Z5+AC5+AF5+AI5+AL5+AL5+AO5+AR5+AU5+AX5+BD5+BI5</f>
        <v>438</v>
      </c>
      <c r="BL5" s="12">
        <v>4</v>
      </c>
      <c r="BM5" s="12">
        <v>4</v>
      </c>
      <c r="BN5" s="12">
        <v>4</v>
      </c>
      <c r="BO5" s="12">
        <v>4</v>
      </c>
      <c r="BP5" s="12">
        <v>4</v>
      </c>
      <c r="BQ5" s="12">
        <v>4</v>
      </c>
      <c r="BR5" s="12">
        <v>4</v>
      </c>
      <c r="BS5" s="12">
        <v>4</v>
      </c>
      <c r="BT5" s="12">
        <v>4</v>
      </c>
      <c r="BU5" s="12">
        <v>4</v>
      </c>
      <c r="BV5" s="12">
        <v>4</v>
      </c>
      <c r="BW5" s="12">
        <v>4</v>
      </c>
      <c r="BX5" s="12">
        <v>4</v>
      </c>
      <c r="BY5" s="12">
        <v>4</v>
      </c>
      <c r="BZ5" s="12">
        <v>3</v>
      </c>
      <c r="CA5" s="12">
        <v>3</v>
      </c>
      <c r="CB5" s="12">
        <v>4</v>
      </c>
      <c r="CC5" s="12">
        <v>4</v>
      </c>
      <c r="CD5" s="12">
        <v>4</v>
      </c>
      <c r="CE5" s="12">
        <v>4</v>
      </c>
      <c r="CF5" s="12">
        <v>3</v>
      </c>
      <c r="CG5" s="12">
        <v>1</v>
      </c>
      <c r="CH5" s="12">
        <v>1</v>
      </c>
      <c r="CI5" s="12">
        <v>3</v>
      </c>
      <c r="CJ5" s="12">
        <v>1</v>
      </c>
      <c r="CK5" s="12">
        <v>3</v>
      </c>
      <c r="CL5" s="12">
        <v>1</v>
      </c>
      <c r="CM5" s="12">
        <v>1</v>
      </c>
      <c r="CN5" s="12">
        <v>3</v>
      </c>
      <c r="CO5" s="12">
        <v>3</v>
      </c>
    </row>
    <row r="6" spans="1:93" x14ac:dyDescent="0.25">
      <c r="A6" s="22" t="s">
        <v>319</v>
      </c>
      <c r="B6" s="22">
        <v>0</v>
      </c>
      <c r="C6" s="12">
        <v>18</v>
      </c>
      <c r="D6" s="12">
        <v>0</v>
      </c>
      <c r="E6" s="12">
        <v>0</v>
      </c>
      <c r="F6" s="12">
        <v>0</v>
      </c>
      <c r="G6" s="12">
        <v>1</v>
      </c>
      <c r="H6" s="12">
        <v>0</v>
      </c>
      <c r="I6" s="12">
        <v>0</v>
      </c>
      <c r="J6" s="12">
        <v>1</v>
      </c>
      <c r="K6" s="12">
        <v>2</v>
      </c>
      <c r="L6" s="12">
        <v>30</v>
      </c>
      <c r="M6" s="12">
        <f>IF(K6=2,1,0)</f>
        <v>1</v>
      </c>
      <c r="N6" s="12">
        <v>3</v>
      </c>
      <c r="O6" s="12">
        <v>6</v>
      </c>
      <c r="P6" s="12">
        <v>7</v>
      </c>
      <c r="Q6" s="12">
        <v>7</v>
      </c>
      <c r="R6" s="12">
        <v>4</v>
      </c>
      <c r="S6" s="12">
        <f>IF(R6=4,1,0)</f>
        <v>1</v>
      </c>
      <c r="T6" s="12">
        <v>28</v>
      </c>
      <c r="U6" s="12">
        <v>0.06</v>
      </c>
      <c r="V6" s="12">
        <v>1</v>
      </c>
      <c r="W6" s="12">
        <v>22</v>
      </c>
      <c r="X6" s="12">
        <v>2000</v>
      </c>
      <c r="Y6" s="12">
        <f>IF(X6=2000,1,0)</f>
        <v>1</v>
      </c>
      <c r="Z6" s="12">
        <v>5</v>
      </c>
      <c r="AA6" s="12">
        <v>2524.9499999999998</v>
      </c>
      <c r="AB6" s="12">
        <f>IF(AA6=2524.95,1,0)</f>
        <v>1</v>
      </c>
      <c r="AC6" s="12">
        <v>28</v>
      </c>
      <c r="AD6" s="12">
        <v>1980.23</v>
      </c>
      <c r="AE6" s="12">
        <f>IF(AD6=1980.23,1,0)</f>
        <v>1</v>
      </c>
      <c r="AF6" s="12">
        <v>30</v>
      </c>
      <c r="AG6" s="12">
        <v>1</v>
      </c>
      <c r="AH6" s="12">
        <f>IF(AG6=1,1,0)</f>
        <v>1</v>
      </c>
      <c r="AI6" s="12">
        <v>21</v>
      </c>
      <c r="AJ6" s="12">
        <v>0</v>
      </c>
      <c r="AK6" s="12">
        <f>IF(AJ6=0,1,0)</f>
        <v>1</v>
      </c>
      <c r="AL6" s="12">
        <v>8</v>
      </c>
      <c r="AM6" s="12">
        <v>3</v>
      </c>
      <c r="AN6" s="12">
        <f>IF(AM6=0,1,0)</f>
        <v>0</v>
      </c>
      <c r="AO6" s="12">
        <v>12</v>
      </c>
      <c r="AP6" s="12">
        <v>0</v>
      </c>
      <c r="AQ6" s="12">
        <f>IF(AP6=0,1,0)</f>
        <v>1</v>
      </c>
      <c r="AR6" s="12">
        <v>29</v>
      </c>
      <c r="AS6" s="12">
        <v>2</v>
      </c>
      <c r="AT6" s="12">
        <f>IF(AS6=2,1,0)</f>
        <v>1</v>
      </c>
      <c r="AU6" s="12">
        <v>11</v>
      </c>
      <c r="AV6" s="12">
        <v>1</v>
      </c>
      <c r="AW6" s="12">
        <f>IF(AV6=1,1,0)</f>
        <v>1</v>
      </c>
      <c r="AX6" s="12">
        <v>4</v>
      </c>
      <c r="AY6" s="12">
        <v>3</v>
      </c>
      <c r="AZ6" s="12">
        <f>IF(AY6=3,1,0)</f>
        <v>1</v>
      </c>
      <c r="BA6" s="12">
        <v>16</v>
      </c>
      <c r="BB6" s="12">
        <v>2</v>
      </c>
      <c r="BC6" s="12">
        <f>IF(BB6=2,1,0)</f>
        <v>1</v>
      </c>
      <c r="BD6" s="12">
        <v>27</v>
      </c>
      <c r="BE6" s="12">
        <f>L6-BD6</f>
        <v>3</v>
      </c>
      <c r="BF6" s="12"/>
      <c r="BG6" s="12">
        <v>2</v>
      </c>
      <c r="BH6" s="12">
        <f>IF(BG6=2,1,0)</f>
        <v>1</v>
      </c>
      <c r="BI6" s="12">
        <v>232</v>
      </c>
      <c r="BJ6" s="12">
        <f>S6+V6+Y6+AB6+AE6+AH6+AK6+AN6+AQ6+AT6+AW6+AZ6+BC6+BH6</f>
        <v>13</v>
      </c>
      <c r="BK6" s="12">
        <f>T6+W6+Z6+AC6+AF6+AI6+AL6+AL6+AO6+AR6+AU6+AX6+BD6+BI6</f>
        <v>465</v>
      </c>
      <c r="BL6" s="12">
        <v>4</v>
      </c>
      <c r="BM6" s="12">
        <v>3</v>
      </c>
      <c r="BN6" s="12">
        <v>3</v>
      </c>
      <c r="BO6" s="12">
        <v>4</v>
      </c>
      <c r="BP6" s="12">
        <v>4</v>
      </c>
      <c r="BQ6" s="12">
        <v>4</v>
      </c>
      <c r="BR6" s="12">
        <v>3</v>
      </c>
      <c r="BS6" s="12">
        <v>4</v>
      </c>
      <c r="BT6" s="12">
        <v>4</v>
      </c>
      <c r="BU6" s="12">
        <v>3</v>
      </c>
      <c r="BV6" s="12">
        <v>3</v>
      </c>
      <c r="BW6" s="12">
        <v>3</v>
      </c>
      <c r="BX6" s="12">
        <v>4</v>
      </c>
      <c r="BY6" s="12">
        <v>3</v>
      </c>
      <c r="BZ6" s="12">
        <v>3</v>
      </c>
      <c r="CA6" s="12">
        <v>4</v>
      </c>
      <c r="CB6" s="12">
        <v>3</v>
      </c>
      <c r="CC6" s="12">
        <v>3</v>
      </c>
      <c r="CD6" s="12">
        <v>3</v>
      </c>
      <c r="CE6" s="12">
        <v>2</v>
      </c>
      <c r="CF6" s="12">
        <v>2</v>
      </c>
      <c r="CG6" s="12">
        <v>2</v>
      </c>
      <c r="CH6" s="12">
        <v>2</v>
      </c>
      <c r="CI6" s="12">
        <v>2</v>
      </c>
      <c r="CJ6" s="12">
        <v>1</v>
      </c>
      <c r="CK6" s="12">
        <v>3</v>
      </c>
      <c r="CL6" s="12">
        <v>3</v>
      </c>
      <c r="CM6" s="12">
        <v>3</v>
      </c>
      <c r="CN6" s="12">
        <v>3</v>
      </c>
      <c r="CO6" s="12">
        <v>2</v>
      </c>
    </row>
    <row r="7" spans="1:93" x14ac:dyDescent="0.25">
      <c r="A7" s="22" t="s">
        <v>320</v>
      </c>
      <c r="B7" s="22">
        <v>0</v>
      </c>
      <c r="C7" s="18">
        <v>23</v>
      </c>
      <c r="D7" s="18">
        <v>0</v>
      </c>
      <c r="E7" s="18">
        <v>1</v>
      </c>
      <c r="F7" s="18">
        <v>0</v>
      </c>
      <c r="G7" s="18">
        <v>1</v>
      </c>
      <c r="H7" s="18">
        <v>1</v>
      </c>
      <c r="I7" s="18">
        <v>0</v>
      </c>
      <c r="J7" s="18">
        <v>0</v>
      </c>
      <c r="K7" s="18">
        <v>2</v>
      </c>
      <c r="L7" s="18">
        <v>81</v>
      </c>
      <c r="M7" s="12">
        <f>IF(K7=2,1,0)</f>
        <v>1</v>
      </c>
      <c r="N7" s="18">
        <v>11</v>
      </c>
      <c r="O7" s="18">
        <v>11</v>
      </c>
      <c r="P7" s="18">
        <v>11</v>
      </c>
      <c r="Q7" s="18">
        <v>11</v>
      </c>
      <c r="R7" s="18">
        <v>0</v>
      </c>
      <c r="S7" s="12">
        <f>IF(R7=4,1,0)</f>
        <v>0</v>
      </c>
      <c r="T7" s="12">
        <v>13</v>
      </c>
      <c r="U7" s="18">
        <v>4</v>
      </c>
      <c r="V7" s="12">
        <f>IF(U7=6,1,0)</f>
        <v>0</v>
      </c>
      <c r="W7" s="12">
        <v>6</v>
      </c>
      <c r="X7" s="18">
        <v>8</v>
      </c>
      <c r="Y7" s="12">
        <f>IF(X7=2000,1,0)</f>
        <v>0</v>
      </c>
      <c r="Z7" s="12">
        <v>4</v>
      </c>
      <c r="AA7" s="18">
        <v>2524.9499999999998</v>
      </c>
      <c r="AB7" s="12">
        <f>IF(AA7=2524.95,1,0)</f>
        <v>1</v>
      </c>
      <c r="AC7" s="12">
        <v>124</v>
      </c>
      <c r="AD7" s="18">
        <v>2000</v>
      </c>
      <c r="AE7" s="12">
        <f>IF(AD7=1980.23,1,0)</f>
        <v>0</v>
      </c>
      <c r="AF7" s="12">
        <v>24</v>
      </c>
      <c r="AG7" s="18">
        <v>0</v>
      </c>
      <c r="AH7" s="12">
        <f>IF(AG7=1,1,0)</f>
        <v>0</v>
      </c>
      <c r="AI7" s="12">
        <v>13</v>
      </c>
      <c r="AJ7" s="18">
        <v>2</v>
      </c>
      <c r="AK7" s="12">
        <f>IF(AJ7=0,1,0)</f>
        <v>0</v>
      </c>
      <c r="AL7" s="12">
        <v>3</v>
      </c>
      <c r="AM7" s="18">
        <v>0</v>
      </c>
      <c r="AN7" s="12">
        <f>IF(AM7=0,1,0)</f>
        <v>1</v>
      </c>
      <c r="AO7" s="12">
        <v>2</v>
      </c>
      <c r="AP7" s="18">
        <v>0</v>
      </c>
      <c r="AQ7" s="12">
        <f>IF(AP7=0,1,0)</f>
        <v>1</v>
      </c>
      <c r="AR7" s="12">
        <v>1</v>
      </c>
      <c r="AS7" s="18">
        <v>0</v>
      </c>
      <c r="AT7" s="12">
        <f>IF(AS7=2,1,0)</f>
        <v>0</v>
      </c>
      <c r="AU7" s="12">
        <v>1</v>
      </c>
      <c r="AV7" s="18">
        <v>0</v>
      </c>
      <c r="AW7" s="12">
        <f>IF(AV7=1,1,0)</f>
        <v>0</v>
      </c>
      <c r="AX7" s="12">
        <v>1</v>
      </c>
      <c r="AY7" s="18">
        <v>0</v>
      </c>
      <c r="AZ7" s="12">
        <f>IF(AY7=3,1,0)</f>
        <v>0</v>
      </c>
      <c r="BA7" s="12">
        <v>2</v>
      </c>
      <c r="BB7" s="18">
        <v>0</v>
      </c>
      <c r="BC7" s="12">
        <f>IF(BB7=2,1,0)</f>
        <v>0</v>
      </c>
      <c r="BD7" s="12">
        <v>1</v>
      </c>
      <c r="BE7" s="12">
        <f>L7-BD7</f>
        <v>80</v>
      </c>
      <c r="BF7" s="12"/>
      <c r="BG7" s="18">
        <v>0</v>
      </c>
      <c r="BH7" s="12">
        <f>IF(BG7=2,1,0)</f>
        <v>0</v>
      </c>
      <c r="BI7" s="12">
        <v>1</v>
      </c>
      <c r="BJ7" s="12">
        <f>S7+V7+Y7+AB7+AE7+AH7+AK7+AN7+AQ7+AT7+AW7+AZ7+BC7+BH7</f>
        <v>3</v>
      </c>
      <c r="BK7" s="12">
        <f>T7+W7+Z7+AC7+AF7+AI7+AL7+AL7+AO7+AR7+AU7+AX7+BD7+BI7</f>
        <v>197</v>
      </c>
      <c r="BL7" s="18">
        <v>0</v>
      </c>
      <c r="BM7" s="18">
        <v>0</v>
      </c>
      <c r="BN7" s="18">
        <v>0</v>
      </c>
      <c r="BO7" s="18">
        <v>0</v>
      </c>
      <c r="BP7" s="18">
        <v>0</v>
      </c>
      <c r="BQ7" s="18">
        <v>0</v>
      </c>
      <c r="BR7" s="18">
        <v>0</v>
      </c>
      <c r="BS7" s="18">
        <v>0</v>
      </c>
      <c r="BT7" s="18">
        <v>0</v>
      </c>
      <c r="BU7" s="18">
        <v>0</v>
      </c>
      <c r="BV7" s="18">
        <v>0</v>
      </c>
      <c r="BW7" s="18">
        <v>0</v>
      </c>
      <c r="BX7" s="18">
        <v>0</v>
      </c>
      <c r="BY7" s="18">
        <v>0</v>
      </c>
      <c r="BZ7" s="18">
        <v>0</v>
      </c>
      <c r="CA7" s="18">
        <v>0</v>
      </c>
      <c r="CB7" s="18">
        <v>0</v>
      </c>
      <c r="CC7" s="18">
        <v>0</v>
      </c>
      <c r="CD7" s="18">
        <v>0</v>
      </c>
      <c r="CE7" s="18">
        <v>0</v>
      </c>
      <c r="CF7" s="18">
        <v>0</v>
      </c>
      <c r="CG7" s="18">
        <v>0</v>
      </c>
      <c r="CH7" s="18">
        <v>0</v>
      </c>
      <c r="CI7" s="18">
        <v>0</v>
      </c>
      <c r="CJ7" s="18">
        <v>0</v>
      </c>
      <c r="CK7" s="18">
        <v>0</v>
      </c>
      <c r="CL7" s="18">
        <v>0</v>
      </c>
      <c r="CM7" s="18">
        <v>0</v>
      </c>
      <c r="CN7" s="18">
        <v>0</v>
      </c>
      <c r="CO7" s="18">
        <v>0</v>
      </c>
    </row>
    <row r="8" spans="1:93" x14ac:dyDescent="0.25">
      <c r="A8" s="22" t="s">
        <v>321</v>
      </c>
      <c r="B8" s="22">
        <v>0</v>
      </c>
      <c r="C8" s="12">
        <v>29</v>
      </c>
      <c r="D8" s="12">
        <v>0</v>
      </c>
      <c r="E8" s="12">
        <v>0</v>
      </c>
      <c r="F8" s="12">
        <v>1</v>
      </c>
      <c r="G8" s="12">
        <v>1</v>
      </c>
      <c r="H8" s="12">
        <v>1</v>
      </c>
      <c r="I8" s="12">
        <v>1</v>
      </c>
      <c r="J8" s="12"/>
      <c r="K8" s="12">
        <v>2</v>
      </c>
      <c r="L8" s="12">
        <v>96</v>
      </c>
      <c r="M8" s="12">
        <f>IF(K8=2,1,0)</f>
        <v>1</v>
      </c>
      <c r="N8" s="12">
        <v>8</v>
      </c>
      <c r="O8" s="12">
        <v>9</v>
      </c>
      <c r="P8" s="12">
        <v>9</v>
      </c>
      <c r="Q8" s="12">
        <v>5</v>
      </c>
      <c r="R8" s="12">
        <v>2524.9499999999998</v>
      </c>
      <c r="S8" s="12">
        <f>IF(R8=4,1,0)</f>
        <v>0</v>
      </c>
      <c r="T8" s="12">
        <v>115</v>
      </c>
      <c r="U8" s="12">
        <v>6</v>
      </c>
      <c r="V8" s="12">
        <f>IF(U8=6,1,0)</f>
        <v>1</v>
      </c>
      <c r="W8" s="12">
        <v>13</v>
      </c>
      <c r="X8" s="12">
        <v>2000</v>
      </c>
      <c r="Y8" s="12">
        <f>IF(X8=2000,1,0)</f>
        <v>1</v>
      </c>
      <c r="Z8" s="12">
        <v>36</v>
      </c>
      <c r="AA8" s="12">
        <v>2524.9499999999998</v>
      </c>
      <c r="AB8" s="12">
        <f>IF(AA8=2524.95,1,0)</f>
        <v>1</v>
      </c>
      <c r="AC8" s="12">
        <v>11</v>
      </c>
      <c r="AD8" s="12">
        <v>2500</v>
      </c>
      <c r="AE8" s="12">
        <f>IF(AD8=1980.23,1,0)</f>
        <v>0</v>
      </c>
      <c r="AF8" s="12">
        <v>18</v>
      </c>
      <c r="AG8" s="12">
        <v>1</v>
      </c>
      <c r="AH8" s="12">
        <f>IF(AG8=1,1,0)</f>
        <v>1</v>
      </c>
      <c r="AI8" s="12">
        <v>5</v>
      </c>
      <c r="AJ8" s="12">
        <v>0</v>
      </c>
      <c r="AK8" s="12">
        <f>IF(AJ8=0,1,0)</f>
        <v>1</v>
      </c>
      <c r="AL8" s="12">
        <v>30</v>
      </c>
      <c r="AM8" s="12">
        <v>0</v>
      </c>
      <c r="AN8" s="12">
        <f>IF(AM8=0,1,0)</f>
        <v>1</v>
      </c>
      <c r="AO8" s="12">
        <v>13</v>
      </c>
      <c r="AP8" s="12">
        <v>0</v>
      </c>
      <c r="AQ8" s="12">
        <f>IF(AP8=0,1,0)</f>
        <v>1</v>
      </c>
      <c r="AR8" s="12">
        <v>16</v>
      </c>
      <c r="AS8" s="12">
        <v>0</v>
      </c>
      <c r="AT8" s="12">
        <f>IF(AS8=2,1,0)</f>
        <v>0</v>
      </c>
      <c r="AU8" s="12">
        <v>26</v>
      </c>
      <c r="AV8" s="12">
        <v>0</v>
      </c>
      <c r="AW8" s="12">
        <f>IF(AV8=1,1,0)</f>
        <v>0</v>
      </c>
      <c r="AX8" s="12">
        <v>8</v>
      </c>
      <c r="AY8" s="12">
        <v>3</v>
      </c>
      <c r="AZ8" s="12">
        <f>IF(AY8=3,1,0)</f>
        <v>1</v>
      </c>
      <c r="BA8" s="12">
        <v>37</v>
      </c>
      <c r="BB8" s="12">
        <v>2</v>
      </c>
      <c r="BC8" s="12">
        <f>IF(BB8=2,1,0)</f>
        <v>1</v>
      </c>
      <c r="BD8" s="12">
        <v>10</v>
      </c>
      <c r="BE8" s="12">
        <f>L8-BD8</f>
        <v>86</v>
      </c>
      <c r="BF8" s="12"/>
      <c r="BG8" s="12">
        <v>2</v>
      </c>
      <c r="BH8" s="12">
        <f>IF(BG8=2,1,0)</f>
        <v>1</v>
      </c>
      <c r="BI8" s="12">
        <v>92</v>
      </c>
      <c r="BJ8" s="12">
        <f>S8+V8+Y8+AB8+AE8+AH8+AK8+AN8+AQ8+AT8+AW8+AZ8+BC8+BH8</f>
        <v>10</v>
      </c>
      <c r="BK8" s="12">
        <f>T8+W8+Z8+AC8+AF8+AI8+AL8+AL8+AO8+AR8+AU8+AX8+BD8+BI8</f>
        <v>423</v>
      </c>
      <c r="BL8" s="12">
        <v>4</v>
      </c>
      <c r="BM8" s="12">
        <v>1</v>
      </c>
      <c r="BN8" s="12">
        <v>1</v>
      </c>
      <c r="BO8" s="12">
        <v>3</v>
      </c>
      <c r="BP8" s="12">
        <v>4</v>
      </c>
      <c r="BQ8" s="12">
        <v>4</v>
      </c>
      <c r="BR8" s="12">
        <v>4</v>
      </c>
      <c r="BS8" s="12">
        <v>4</v>
      </c>
      <c r="BT8" s="12">
        <v>4</v>
      </c>
      <c r="BU8" s="12">
        <v>4</v>
      </c>
      <c r="BV8" s="12">
        <v>4</v>
      </c>
      <c r="BW8" s="12">
        <v>4</v>
      </c>
      <c r="BX8" s="12">
        <v>4</v>
      </c>
      <c r="BY8" s="12">
        <v>4</v>
      </c>
      <c r="BZ8" s="12">
        <v>4</v>
      </c>
      <c r="CA8" s="12">
        <v>4</v>
      </c>
      <c r="CB8" s="12">
        <v>4</v>
      </c>
      <c r="CC8" s="12">
        <v>3</v>
      </c>
      <c r="CD8" s="12">
        <v>3</v>
      </c>
      <c r="CE8" s="12">
        <v>1</v>
      </c>
      <c r="CF8" s="12">
        <v>1</v>
      </c>
      <c r="CG8" s="12">
        <v>1</v>
      </c>
      <c r="CH8" s="12">
        <v>1</v>
      </c>
      <c r="CI8" s="12">
        <v>1</v>
      </c>
      <c r="CJ8" s="12">
        <v>1</v>
      </c>
      <c r="CK8" s="12">
        <v>4</v>
      </c>
      <c r="CL8" s="12">
        <v>4</v>
      </c>
      <c r="CM8" s="12">
        <v>3</v>
      </c>
      <c r="CN8" s="12">
        <v>3</v>
      </c>
      <c r="CO8" s="12">
        <v>2</v>
      </c>
    </row>
    <row r="9" spans="1:93" x14ac:dyDescent="0.25">
      <c r="A9" s="22" t="s">
        <v>322</v>
      </c>
      <c r="B9" s="22">
        <v>0</v>
      </c>
      <c r="C9" s="12">
        <v>30</v>
      </c>
      <c r="D9" s="12">
        <v>0</v>
      </c>
      <c r="E9" s="12">
        <v>1</v>
      </c>
      <c r="F9" s="12">
        <v>0</v>
      </c>
      <c r="G9" s="12">
        <v>1</v>
      </c>
      <c r="H9" s="12">
        <v>1</v>
      </c>
      <c r="I9" s="12">
        <v>1</v>
      </c>
      <c r="J9" s="12"/>
      <c r="K9" s="12">
        <v>0</v>
      </c>
      <c r="L9" s="12">
        <v>111</v>
      </c>
      <c r="M9" s="12">
        <f>IF(K9=2,1,0)</f>
        <v>0</v>
      </c>
      <c r="N9" s="12">
        <v>7</v>
      </c>
      <c r="O9" s="12">
        <v>9</v>
      </c>
      <c r="P9" s="12">
        <v>9</v>
      </c>
      <c r="Q9" s="12">
        <v>7</v>
      </c>
      <c r="R9" s="12">
        <v>4</v>
      </c>
      <c r="S9" s="12">
        <f>IF(R9=4,1,0)</f>
        <v>1</v>
      </c>
      <c r="T9" s="12">
        <v>94</v>
      </c>
      <c r="U9" s="12">
        <v>6</v>
      </c>
      <c r="V9" s="12">
        <f>IF(U9=6,1,0)</f>
        <v>1</v>
      </c>
      <c r="W9" s="12">
        <v>6</v>
      </c>
      <c r="X9" s="12">
        <v>2000</v>
      </c>
      <c r="Y9" s="12">
        <f>IF(X9=2000,1,0)</f>
        <v>1</v>
      </c>
      <c r="Z9" s="12">
        <v>17</v>
      </c>
      <c r="AA9" s="12">
        <v>2500</v>
      </c>
      <c r="AB9" s="12">
        <f>IF(AA9=2524.95,1,0)</f>
        <v>0</v>
      </c>
      <c r="AC9" s="12">
        <v>15</v>
      </c>
      <c r="AD9" s="12">
        <v>2525</v>
      </c>
      <c r="AE9" s="12">
        <f>IF(AD9=1980.23,1,0)</f>
        <v>0</v>
      </c>
      <c r="AF9" s="12">
        <v>86</v>
      </c>
      <c r="AG9" s="12">
        <v>0</v>
      </c>
      <c r="AH9" s="12">
        <f>IF(AG9=1,1,0)</f>
        <v>0</v>
      </c>
      <c r="AI9" s="12">
        <v>6</v>
      </c>
      <c r="AJ9" s="12">
        <v>0</v>
      </c>
      <c r="AK9" s="12">
        <f>IF(AJ9=0,1,0)</f>
        <v>1</v>
      </c>
      <c r="AL9" s="12">
        <v>30</v>
      </c>
      <c r="AM9" s="12">
        <v>0</v>
      </c>
      <c r="AN9" s="12">
        <f>IF(AM9=0,1,0)</f>
        <v>1</v>
      </c>
      <c r="AO9" s="12">
        <v>15</v>
      </c>
      <c r="AP9" s="12">
        <v>1</v>
      </c>
      <c r="AQ9" s="12">
        <f>IF(AP9=0,1,0)</f>
        <v>0</v>
      </c>
      <c r="AR9" s="12">
        <v>18</v>
      </c>
      <c r="AS9" s="12">
        <v>2</v>
      </c>
      <c r="AT9" s="12">
        <f>IF(AS9=2,1,0)</f>
        <v>1</v>
      </c>
      <c r="AU9" s="12">
        <v>30</v>
      </c>
      <c r="AV9" s="12">
        <v>1</v>
      </c>
      <c r="AW9" s="12">
        <f>IF(AV9=1,1,0)</f>
        <v>1</v>
      </c>
      <c r="AX9" s="12">
        <v>5</v>
      </c>
      <c r="AY9" s="12">
        <v>0</v>
      </c>
      <c r="AZ9" s="12">
        <f>IF(AY9=3,1,0)</f>
        <v>0</v>
      </c>
      <c r="BA9" s="12">
        <v>16</v>
      </c>
      <c r="BB9" s="12">
        <v>2</v>
      </c>
      <c r="BC9" s="12">
        <f>IF(BB9=2,1,0)</f>
        <v>1</v>
      </c>
      <c r="BD9" s="12">
        <v>58</v>
      </c>
      <c r="BE9" s="12">
        <f>L9-BD9</f>
        <v>53</v>
      </c>
      <c r="BF9" s="12"/>
      <c r="BG9" s="12">
        <v>3</v>
      </c>
      <c r="BH9" s="12">
        <f>IF(BG9=2,1,0)</f>
        <v>0</v>
      </c>
      <c r="BI9" s="12">
        <v>22</v>
      </c>
      <c r="BJ9" s="12">
        <f>S9+V9+Y9+AB9+AE9+AH9+AK9+AN9+AQ9+AT9+AW9+AZ9+BC9+BH9</f>
        <v>8</v>
      </c>
      <c r="BK9" s="12">
        <f>T9+W9+Z9+AC9+AF9+AI9+AL9+AL9+AO9+AR9+AU9+AX9+BD9+BI9</f>
        <v>432</v>
      </c>
      <c r="BL9" s="12">
        <v>4</v>
      </c>
      <c r="BM9" s="12">
        <v>3</v>
      </c>
      <c r="BN9" s="12">
        <v>3</v>
      </c>
      <c r="BO9" s="12">
        <v>2</v>
      </c>
      <c r="BP9" s="12">
        <v>4</v>
      </c>
      <c r="BQ9" s="12">
        <v>4</v>
      </c>
      <c r="BR9" s="12">
        <v>4</v>
      </c>
      <c r="BS9" s="12">
        <v>4</v>
      </c>
      <c r="BT9" s="12">
        <v>4</v>
      </c>
      <c r="BU9" s="12">
        <v>4</v>
      </c>
      <c r="BV9" s="12">
        <v>4</v>
      </c>
      <c r="BW9" s="12">
        <v>4</v>
      </c>
      <c r="BX9" s="12">
        <v>4</v>
      </c>
      <c r="BY9" s="12">
        <v>3</v>
      </c>
      <c r="BZ9" s="12">
        <v>3</v>
      </c>
      <c r="CA9" s="12">
        <v>3</v>
      </c>
      <c r="CB9" s="12">
        <v>3</v>
      </c>
      <c r="CC9" s="12">
        <v>3</v>
      </c>
      <c r="CD9" s="12">
        <v>3</v>
      </c>
      <c r="CE9" s="12">
        <v>1</v>
      </c>
      <c r="CF9" s="12">
        <v>1</v>
      </c>
      <c r="CG9" s="12">
        <v>1</v>
      </c>
      <c r="CH9" s="12">
        <v>1</v>
      </c>
      <c r="CI9" s="12">
        <v>3</v>
      </c>
      <c r="CJ9" s="12">
        <v>1</v>
      </c>
      <c r="CK9" s="12">
        <v>3</v>
      </c>
      <c r="CL9" s="12">
        <v>3</v>
      </c>
      <c r="CM9" s="12">
        <v>3</v>
      </c>
      <c r="CN9" s="12">
        <v>3</v>
      </c>
      <c r="CO9" s="12">
        <v>3</v>
      </c>
    </row>
    <row r="10" spans="1:93" x14ac:dyDescent="0.25">
      <c r="A10" s="22" t="s">
        <v>323</v>
      </c>
      <c r="B10" s="22">
        <v>0</v>
      </c>
      <c r="C10" s="12">
        <v>22</v>
      </c>
      <c r="D10" s="12">
        <v>0</v>
      </c>
      <c r="E10" s="12">
        <v>1</v>
      </c>
      <c r="F10" s="12">
        <v>0</v>
      </c>
      <c r="G10" s="12">
        <v>2</v>
      </c>
      <c r="H10" s="12">
        <v>0</v>
      </c>
      <c r="I10" s="12">
        <v>1</v>
      </c>
      <c r="J10" s="12"/>
      <c r="K10" s="12">
        <v>2</v>
      </c>
      <c r="L10" s="12">
        <v>114</v>
      </c>
      <c r="M10" s="12">
        <f>IF(K10=2,1,0)</f>
        <v>1</v>
      </c>
      <c r="N10" s="12">
        <v>5</v>
      </c>
      <c r="O10" s="12">
        <v>4</v>
      </c>
      <c r="P10" s="12">
        <v>8</v>
      </c>
      <c r="Q10" s="12">
        <v>6</v>
      </c>
      <c r="R10" s="12">
        <v>4</v>
      </c>
      <c r="S10" s="12">
        <f>IF(R10=4,1,0)</f>
        <v>1</v>
      </c>
      <c r="T10" s="12">
        <v>65</v>
      </c>
      <c r="U10" s="12">
        <v>6</v>
      </c>
      <c r="V10" s="12">
        <f>IF(U10=6,1,0)</f>
        <v>1</v>
      </c>
      <c r="W10" s="12">
        <v>16</v>
      </c>
      <c r="X10" s="12">
        <v>2000</v>
      </c>
      <c r="Y10" s="12">
        <f>IF(X10=2000,1,0)</f>
        <v>1</v>
      </c>
      <c r="Z10" s="12">
        <v>9</v>
      </c>
      <c r="AA10" s="12">
        <v>2500</v>
      </c>
      <c r="AB10" s="12">
        <f>IF(AA10=2524.95,1,0)</f>
        <v>0</v>
      </c>
      <c r="AC10" s="12">
        <v>6</v>
      </c>
      <c r="AD10" s="12">
        <v>56000</v>
      </c>
      <c r="AE10" s="12">
        <f>IF(AD10=1980.23,1,0)</f>
        <v>0</v>
      </c>
      <c r="AF10" s="12">
        <v>197</v>
      </c>
      <c r="AG10" s="12">
        <v>1</v>
      </c>
      <c r="AH10" s="12">
        <f>IF(AG10=1,1,0)</f>
        <v>1</v>
      </c>
      <c r="AI10" s="12">
        <v>9</v>
      </c>
      <c r="AJ10" s="12">
        <v>0</v>
      </c>
      <c r="AK10" s="12">
        <f>IF(AJ10=0,1,0)</f>
        <v>1</v>
      </c>
      <c r="AL10" s="12">
        <v>25</v>
      </c>
      <c r="AM10" s="12">
        <v>3</v>
      </c>
      <c r="AN10" s="12">
        <f>IF(AM10=0,1,0)</f>
        <v>0</v>
      </c>
      <c r="AO10" s="12">
        <v>36</v>
      </c>
      <c r="AP10" s="12">
        <v>0</v>
      </c>
      <c r="AQ10" s="12">
        <f>IF(AP10=0,1,0)</f>
        <v>1</v>
      </c>
      <c r="AR10" s="12">
        <v>24</v>
      </c>
      <c r="AS10" s="12">
        <v>3</v>
      </c>
      <c r="AT10" s="12">
        <f>IF(AS10=2,1,0)</f>
        <v>0</v>
      </c>
      <c r="AU10" s="12">
        <v>20</v>
      </c>
      <c r="AV10" s="12">
        <v>3</v>
      </c>
      <c r="AW10" s="12">
        <f>IF(AV10=1,1,0)</f>
        <v>0</v>
      </c>
      <c r="AX10" s="12">
        <v>28</v>
      </c>
      <c r="AY10" s="12">
        <v>0</v>
      </c>
      <c r="AZ10" s="12">
        <f>IF(AY10=3,1,0)</f>
        <v>0</v>
      </c>
      <c r="BA10" s="12">
        <v>39</v>
      </c>
      <c r="BB10" s="12">
        <v>2</v>
      </c>
      <c r="BC10" s="12">
        <f>IF(BB10=2,1,0)</f>
        <v>1</v>
      </c>
      <c r="BD10" s="12">
        <v>8</v>
      </c>
      <c r="BE10" s="12">
        <f>L10-BD10</f>
        <v>106</v>
      </c>
      <c r="BF10" s="12"/>
      <c r="BG10" s="12">
        <v>2</v>
      </c>
      <c r="BH10" s="12">
        <f>IF(BG10=2,1,0)</f>
        <v>1</v>
      </c>
      <c r="BI10" s="12">
        <v>117</v>
      </c>
      <c r="BJ10" s="12">
        <f>S10+V10+Y10+AB10+AE10+AH10+AK10+AN10+AQ10+AT10+AW10+AZ10+BC10+BH10</f>
        <v>8</v>
      </c>
      <c r="BK10" s="12">
        <f>T10+W10+Z10+AC10+AF10+AI10+AL10+AL10+AO10+AR10+AU10+AX10+BD10+BI10</f>
        <v>585</v>
      </c>
      <c r="BL10" s="19">
        <v>4</v>
      </c>
      <c r="BM10" s="19">
        <v>4</v>
      </c>
      <c r="BN10" s="19">
        <v>4</v>
      </c>
      <c r="BO10" s="19">
        <v>4</v>
      </c>
      <c r="BP10" s="19">
        <v>4</v>
      </c>
      <c r="BQ10" s="19">
        <v>4</v>
      </c>
      <c r="BR10" s="19">
        <v>4</v>
      </c>
      <c r="BS10" s="19">
        <v>4</v>
      </c>
      <c r="BT10" s="19">
        <v>4</v>
      </c>
      <c r="BU10" s="19">
        <v>4</v>
      </c>
      <c r="BV10" s="19">
        <v>4</v>
      </c>
      <c r="BW10" s="19">
        <v>4</v>
      </c>
      <c r="BX10" s="19">
        <v>4</v>
      </c>
      <c r="BY10" s="19">
        <v>4</v>
      </c>
      <c r="BZ10" s="19">
        <v>4</v>
      </c>
      <c r="CA10" s="19">
        <v>4</v>
      </c>
      <c r="CB10" s="19">
        <v>4</v>
      </c>
      <c r="CC10" s="19">
        <v>4</v>
      </c>
      <c r="CD10" s="19">
        <v>4</v>
      </c>
      <c r="CE10" s="19">
        <v>4</v>
      </c>
      <c r="CF10" s="19">
        <v>4</v>
      </c>
      <c r="CG10" s="19">
        <v>0</v>
      </c>
      <c r="CH10" s="19">
        <v>0</v>
      </c>
      <c r="CI10" s="19">
        <v>2</v>
      </c>
      <c r="CJ10" s="19">
        <v>0</v>
      </c>
      <c r="CK10" s="19">
        <v>4</v>
      </c>
      <c r="CL10" s="19">
        <v>4</v>
      </c>
      <c r="CM10" s="19">
        <v>4</v>
      </c>
      <c r="CN10" s="19">
        <v>4</v>
      </c>
      <c r="CO10" s="19">
        <v>4</v>
      </c>
    </row>
    <row r="11" spans="1:93" x14ac:dyDescent="0.25">
      <c r="A11" s="22" t="s">
        <v>324</v>
      </c>
      <c r="B11" s="22">
        <v>0</v>
      </c>
      <c r="C11" s="12">
        <v>25</v>
      </c>
      <c r="D11" s="12">
        <v>0</v>
      </c>
      <c r="E11" s="12">
        <v>1</v>
      </c>
      <c r="F11" s="12">
        <v>1</v>
      </c>
      <c r="G11" s="12">
        <v>2</v>
      </c>
      <c r="H11" s="12">
        <v>1</v>
      </c>
      <c r="I11" s="12">
        <v>0</v>
      </c>
      <c r="J11" s="12">
        <v>1</v>
      </c>
      <c r="K11" s="12">
        <v>2</v>
      </c>
      <c r="L11" s="12">
        <v>155</v>
      </c>
      <c r="M11" s="12">
        <f>IF(K11=2,1,0)</f>
        <v>1</v>
      </c>
      <c r="N11" s="12">
        <v>5</v>
      </c>
      <c r="O11" s="12">
        <v>4</v>
      </c>
      <c r="P11" s="12">
        <v>7</v>
      </c>
      <c r="Q11" s="12">
        <v>6</v>
      </c>
      <c r="R11" s="12">
        <v>3</v>
      </c>
      <c r="S11" s="12">
        <f>IF(R11=4,1,0)</f>
        <v>0</v>
      </c>
      <c r="T11" s="12">
        <v>32</v>
      </c>
      <c r="U11" s="12">
        <v>4</v>
      </c>
      <c r="V11" s="12">
        <f>IF(U11=6,1,0)</f>
        <v>0</v>
      </c>
      <c r="W11" s="12">
        <v>5</v>
      </c>
      <c r="X11" s="12">
        <v>1000</v>
      </c>
      <c r="Y11" s="12">
        <f>IF(X11=2000,1,0)</f>
        <v>0</v>
      </c>
      <c r="Z11" s="12">
        <v>20</v>
      </c>
      <c r="AA11" s="12">
        <v>2454.9499999999998</v>
      </c>
      <c r="AB11" s="12">
        <f>IF(AA11=2524.95,1,0)</f>
        <v>0</v>
      </c>
      <c r="AC11" s="12">
        <v>27</v>
      </c>
      <c r="AD11" s="12">
        <v>1980.23</v>
      </c>
      <c r="AE11" s="12">
        <f>IF(AD11=1980.23,1,0)</f>
        <v>1</v>
      </c>
      <c r="AF11" s="12">
        <v>85</v>
      </c>
      <c r="AG11" s="12">
        <v>1</v>
      </c>
      <c r="AH11" s="12">
        <f>IF(AG11=1,1,0)</f>
        <v>1</v>
      </c>
      <c r="AI11" s="12">
        <v>18</v>
      </c>
      <c r="AJ11" s="12">
        <v>0</v>
      </c>
      <c r="AK11" s="12">
        <f>IF(AJ11=0,1,0)</f>
        <v>1</v>
      </c>
      <c r="AL11" s="12">
        <v>20</v>
      </c>
      <c r="AM11" s="12">
        <v>1</v>
      </c>
      <c r="AN11" s="12">
        <f>IF(AM11=0,1,0)</f>
        <v>0</v>
      </c>
      <c r="AO11" s="12">
        <v>21</v>
      </c>
      <c r="AP11" s="12">
        <v>0</v>
      </c>
      <c r="AQ11" s="12">
        <f>IF(AP11=0,1,0)</f>
        <v>1</v>
      </c>
      <c r="AR11" s="12">
        <v>40</v>
      </c>
      <c r="AS11" s="12">
        <v>2</v>
      </c>
      <c r="AT11" s="12">
        <f>IF(AS11=2,1,0)</f>
        <v>1</v>
      </c>
      <c r="AU11" s="12">
        <v>30</v>
      </c>
      <c r="AV11" s="12">
        <v>1</v>
      </c>
      <c r="AW11" s="12">
        <f>IF(AV11=1,1,0)</f>
        <v>1</v>
      </c>
      <c r="AX11" s="12">
        <v>10</v>
      </c>
      <c r="AY11" s="12">
        <v>3</v>
      </c>
      <c r="AZ11" s="12">
        <f>IF(AY11=3,1,0)</f>
        <v>1</v>
      </c>
      <c r="BA11" s="12">
        <v>23</v>
      </c>
      <c r="BB11" s="12">
        <v>2</v>
      </c>
      <c r="BC11" s="12">
        <f>IF(BB11=2,1,0)</f>
        <v>1</v>
      </c>
      <c r="BD11" s="12">
        <v>29</v>
      </c>
      <c r="BE11" s="12">
        <f>L11-BD11</f>
        <v>126</v>
      </c>
      <c r="BF11" s="12"/>
      <c r="BG11" s="12">
        <v>3</v>
      </c>
      <c r="BH11" s="12">
        <f>IF(BG11=2,1,0)</f>
        <v>0</v>
      </c>
      <c r="BI11" s="12">
        <v>228</v>
      </c>
      <c r="BJ11" s="12">
        <f>S11+V11+Y11+AB11+AE11+AH11+AK11+AN11+AQ11+AT11+AW11+AZ11+BC11+BH11</f>
        <v>8</v>
      </c>
      <c r="BK11" s="12">
        <f>T11+W11+Z11+AC11+AF11+AI11+AL11+AL11+AO11+AR11+AU11+AX11+BD11+BI11</f>
        <v>585</v>
      </c>
      <c r="BL11" s="12">
        <v>4</v>
      </c>
      <c r="BM11" s="12">
        <v>4</v>
      </c>
      <c r="BN11" s="12">
        <v>4</v>
      </c>
      <c r="BO11" s="12">
        <v>4</v>
      </c>
      <c r="BP11" s="12">
        <v>4</v>
      </c>
      <c r="BQ11" s="12">
        <v>4</v>
      </c>
      <c r="BR11" s="12">
        <v>4</v>
      </c>
      <c r="BS11" s="12">
        <v>4</v>
      </c>
      <c r="BT11" s="12">
        <v>4</v>
      </c>
      <c r="BU11" s="12">
        <v>4</v>
      </c>
      <c r="BV11" s="12">
        <v>4</v>
      </c>
      <c r="BW11" s="12">
        <v>4</v>
      </c>
      <c r="BX11" s="12">
        <v>4</v>
      </c>
      <c r="BY11" s="12">
        <v>4</v>
      </c>
      <c r="BZ11" s="12">
        <v>4</v>
      </c>
      <c r="CA11" s="12">
        <v>3</v>
      </c>
      <c r="CB11" s="12">
        <v>4</v>
      </c>
      <c r="CC11" s="12">
        <v>4</v>
      </c>
      <c r="CD11" s="12">
        <v>4</v>
      </c>
      <c r="CE11" s="12">
        <v>4</v>
      </c>
      <c r="CF11" s="12">
        <v>4</v>
      </c>
      <c r="CG11" s="12">
        <v>4</v>
      </c>
      <c r="CH11" s="12">
        <v>2</v>
      </c>
      <c r="CI11" s="12">
        <v>4</v>
      </c>
      <c r="CJ11" s="12">
        <v>4</v>
      </c>
      <c r="CK11" s="12">
        <v>4</v>
      </c>
      <c r="CL11" s="12">
        <v>4</v>
      </c>
      <c r="CM11" s="12">
        <v>4</v>
      </c>
      <c r="CN11" s="12">
        <v>4</v>
      </c>
      <c r="CO11" s="12">
        <v>4</v>
      </c>
    </row>
    <row r="12" spans="1:93" x14ac:dyDescent="0.25">
      <c r="A12" s="22" t="s">
        <v>325</v>
      </c>
      <c r="B12" s="22">
        <v>0</v>
      </c>
      <c r="C12" s="12">
        <v>25</v>
      </c>
      <c r="D12" s="12">
        <v>0</v>
      </c>
      <c r="E12" s="12">
        <v>1</v>
      </c>
      <c r="F12" s="12">
        <v>1</v>
      </c>
      <c r="G12" s="12">
        <v>2</v>
      </c>
      <c r="H12" s="12">
        <v>1</v>
      </c>
      <c r="I12" s="12">
        <v>0</v>
      </c>
      <c r="J12" s="12">
        <v>0</v>
      </c>
      <c r="K12" s="12">
        <v>2</v>
      </c>
      <c r="L12" s="12">
        <v>44</v>
      </c>
      <c r="M12" s="12">
        <f>IF(K12=2,1,0)</f>
        <v>1</v>
      </c>
      <c r="N12" s="12">
        <v>0</v>
      </c>
      <c r="O12" s="12">
        <v>6</v>
      </c>
      <c r="P12" s="12">
        <v>7</v>
      </c>
      <c r="Q12" s="12">
        <v>9</v>
      </c>
      <c r="R12" s="12">
        <v>4</v>
      </c>
      <c r="S12" s="12">
        <f>IF(R12=4,1,0)</f>
        <v>1</v>
      </c>
      <c r="T12" s="12">
        <v>209</v>
      </c>
      <c r="U12" s="12">
        <v>6</v>
      </c>
      <c r="V12" s="12">
        <f>IF(U12=6,1,0)</f>
        <v>1</v>
      </c>
      <c r="W12" s="12">
        <v>9</v>
      </c>
      <c r="X12" s="12">
        <v>2000</v>
      </c>
      <c r="Y12" s="12">
        <f>IF(X12=2000,1,0)</f>
        <v>1</v>
      </c>
      <c r="Z12" s="12">
        <v>7</v>
      </c>
      <c r="AA12" s="12">
        <v>2500</v>
      </c>
      <c r="AB12" s="12">
        <f>IF(AA12=2524.95,1,0)</f>
        <v>0</v>
      </c>
      <c r="AC12" s="12">
        <v>7</v>
      </c>
      <c r="AD12" s="12">
        <v>1980.23</v>
      </c>
      <c r="AE12" s="12">
        <f>IF(AD12=1980.23,1,0)</f>
        <v>1</v>
      </c>
      <c r="AF12" s="12">
        <v>52</v>
      </c>
      <c r="AG12" s="12">
        <v>1</v>
      </c>
      <c r="AH12" s="12">
        <f>IF(AG12=1,1,0)</f>
        <v>1</v>
      </c>
      <c r="AI12" s="12">
        <v>28</v>
      </c>
      <c r="AJ12" s="12">
        <v>0</v>
      </c>
      <c r="AK12" s="12">
        <f>IF(AJ12=0,1,0)</f>
        <v>1</v>
      </c>
      <c r="AL12" s="12">
        <v>11</v>
      </c>
      <c r="AM12" s="12">
        <v>1</v>
      </c>
      <c r="AN12" s="12">
        <f>IF(AM12=0,1,0)</f>
        <v>0</v>
      </c>
      <c r="AO12" s="12">
        <v>24</v>
      </c>
      <c r="AP12" s="12">
        <v>0</v>
      </c>
      <c r="AQ12" s="12">
        <f>IF(AP12=0,1,0)</f>
        <v>1</v>
      </c>
      <c r="AR12" s="12">
        <v>19</v>
      </c>
      <c r="AS12" s="12">
        <v>2</v>
      </c>
      <c r="AT12" s="12">
        <f>IF(AS12=2,1,0)</f>
        <v>1</v>
      </c>
      <c r="AU12" s="12">
        <v>18</v>
      </c>
      <c r="AV12" s="12">
        <v>1</v>
      </c>
      <c r="AW12" s="12">
        <f>IF(AV12=1,1,0)</f>
        <v>1</v>
      </c>
      <c r="AX12" s="12">
        <v>3</v>
      </c>
      <c r="AY12" s="12">
        <v>3</v>
      </c>
      <c r="AZ12" s="12">
        <f>IF(AY12=3,1,0)</f>
        <v>1</v>
      </c>
      <c r="BA12" s="12">
        <v>20</v>
      </c>
      <c r="BB12" s="12">
        <v>2</v>
      </c>
      <c r="BC12" s="12">
        <f>IF(BB12=2,1,0)</f>
        <v>1</v>
      </c>
      <c r="BD12" s="12">
        <v>37</v>
      </c>
      <c r="BE12" s="12">
        <f>L12-BD12</f>
        <v>7</v>
      </c>
      <c r="BF12" s="12"/>
      <c r="BG12" s="12">
        <v>2</v>
      </c>
      <c r="BH12" s="12">
        <f>IF(BG12=2,1,0)</f>
        <v>1</v>
      </c>
      <c r="BI12" s="12">
        <v>251</v>
      </c>
      <c r="BJ12" s="12">
        <f>S12+V12+Y12+AB12+AE12+AH12+AK12+AN12+AQ12+AT12+AW12+AZ12+BC12+BH12</f>
        <v>12</v>
      </c>
      <c r="BK12" s="12">
        <f>T12+W12+Z12+AC12+AF12+AI12+AL12+AL12+AO12+AR12+AU12+AX12+BD12+BI12</f>
        <v>686</v>
      </c>
      <c r="BL12" s="12">
        <v>3</v>
      </c>
      <c r="BM12" s="12">
        <v>4</v>
      </c>
      <c r="BN12" s="12">
        <v>4</v>
      </c>
      <c r="BO12" s="12">
        <v>1</v>
      </c>
      <c r="BP12" s="12">
        <v>3</v>
      </c>
      <c r="BQ12" s="12">
        <v>4</v>
      </c>
      <c r="BR12" s="12">
        <v>4</v>
      </c>
      <c r="BS12" s="12">
        <v>4</v>
      </c>
      <c r="BT12" s="12">
        <v>4</v>
      </c>
      <c r="BU12" s="12">
        <v>4</v>
      </c>
      <c r="BV12" s="12">
        <v>3</v>
      </c>
      <c r="BW12" s="12">
        <v>4</v>
      </c>
      <c r="BX12" s="12">
        <v>4</v>
      </c>
      <c r="BY12" s="12">
        <v>4</v>
      </c>
      <c r="BZ12" s="12">
        <v>4</v>
      </c>
      <c r="CA12" s="12">
        <v>4</v>
      </c>
      <c r="CB12" s="12">
        <v>4</v>
      </c>
      <c r="CC12" s="12">
        <v>4</v>
      </c>
      <c r="CD12" s="12">
        <v>3</v>
      </c>
      <c r="CE12" s="12">
        <v>3</v>
      </c>
      <c r="CF12" s="12">
        <v>3</v>
      </c>
      <c r="CG12" s="12">
        <v>3</v>
      </c>
      <c r="CH12" s="12">
        <v>3</v>
      </c>
      <c r="CI12" s="12">
        <v>3</v>
      </c>
      <c r="CJ12" s="12">
        <v>3</v>
      </c>
      <c r="CK12" s="12">
        <v>4</v>
      </c>
      <c r="CL12" s="12">
        <v>4</v>
      </c>
      <c r="CM12" s="12">
        <v>4</v>
      </c>
      <c r="CN12" s="12">
        <v>4</v>
      </c>
      <c r="CO12" s="12">
        <v>4</v>
      </c>
    </row>
    <row r="13" spans="1:93" x14ac:dyDescent="0.25">
      <c r="A13" s="22" t="s">
        <v>114</v>
      </c>
      <c r="B13" s="22">
        <v>0</v>
      </c>
      <c r="C13" s="12">
        <v>29</v>
      </c>
      <c r="D13" s="12">
        <v>0</v>
      </c>
      <c r="E13" s="12">
        <v>0</v>
      </c>
      <c r="F13" s="12">
        <v>1</v>
      </c>
      <c r="G13" s="12">
        <v>1</v>
      </c>
      <c r="H13" s="12">
        <v>1</v>
      </c>
      <c r="I13" s="12">
        <v>0</v>
      </c>
      <c r="J13" s="12">
        <v>0</v>
      </c>
      <c r="K13" s="12">
        <v>2</v>
      </c>
      <c r="L13" s="12">
        <v>545</v>
      </c>
      <c r="M13" s="12">
        <f>IF(K13=2,1,0)</f>
        <v>1</v>
      </c>
      <c r="N13" s="12">
        <v>4</v>
      </c>
      <c r="O13" s="12">
        <v>8</v>
      </c>
      <c r="P13" s="12">
        <v>8</v>
      </c>
      <c r="Q13" s="12">
        <v>10</v>
      </c>
      <c r="R13" s="12">
        <v>4</v>
      </c>
      <c r="S13" s="12">
        <f>IF(R13=4,1,0)</f>
        <v>1</v>
      </c>
      <c r="T13" s="12">
        <v>47</v>
      </c>
      <c r="U13" s="12">
        <v>6</v>
      </c>
      <c r="V13" s="12">
        <f>IF(U13=6,1,0)</f>
        <v>1</v>
      </c>
      <c r="W13" s="12">
        <v>8</v>
      </c>
      <c r="X13" s="12">
        <v>2000</v>
      </c>
      <c r="Y13" s="12">
        <f>IF(X13=2000,1,0)</f>
        <v>1</v>
      </c>
      <c r="Z13" s="12">
        <v>10</v>
      </c>
      <c r="AA13" s="12">
        <v>2524.9499999999998</v>
      </c>
      <c r="AB13" s="12">
        <f>IF(AA13=2524.95,1,0)</f>
        <v>1</v>
      </c>
      <c r="AC13" s="12">
        <v>56</v>
      </c>
      <c r="AD13" s="12">
        <v>1980.23</v>
      </c>
      <c r="AE13" s="12">
        <f>IF(AD13=1980.23,1,0)</f>
        <v>1</v>
      </c>
      <c r="AF13" s="12">
        <v>26</v>
      </c>
      <c r="AG13" s="12">
        <v>0</v>
      </c>
      <c r="AH13" s="12">
        <f>IF(AG13=1,1,0)</f>
        <v>0</v>
      </c>
      <c r="AI13" s="12">
        <v>15</v>
      </c>
      <c r="AJ13" s="12">
        <v>0</v>
      </c>
      <c r="AK13" s="12">
        <f>IF(AJ13=0,1,0)</f>
        <v>1</v>
      </c>
      <c r="AL13" s="12">
        <v>28</v>
      </c>
      <c r="AM13" s="12">
        <v>3</v>
      </c>
      <c r="AN13" s="12">
        <f>IF(AM13=0,1,0)</f>
        <v>0</v>
      </c>
      <c r="AO13" s="12">
        <v>16</v>
      </c>
      <c r="AP13" s="12">
        <v>0</v>
      </c>
      <c r="AQ13" s="12">
        <f>IF(AP13=0,1,0)</f>
        <v>1</v>
      </c>
      <c r="AR13" s="12">
        <v>21</v>
      </c>
      <c r="AS13" s="12">
        <v>2</v>
      </c>
      <c r="AT13" s="12">
        <f>IF(AS13=2,1,0)</f>
        <v>1</v>
      </c>
      <c r="AU13" s="12">
        <v>21</v>
      </c>
      <c r="AV13" s="12">
        <v>1</v>
      </c>
      <c r="AW13" s="12">
        <f>IF(AV13=1,1,0)</f>
        <v>1</v>
      </c>
      <c r="AX13" s="12">
        <v>4</v>
      </c>
      <c r="AY13" s="12">
        <v>0</v>
      </c>
      <c r="AZ13" s="12">
        <f>IF(AY13=3,1,0)</f>
        <v>0</v>
      </c>
      <c r="BA13" s="12">
        <v>19</v>
      </c>
      <c r="BB13" s="12">
        <v>2</v>
      </c>
      <c r="BC13" s="12">
        <f>IF(BB13=2,1,0)</f>
        <v>1</v>
      </c>
      <c r="BD13" s="12">
        <v>28</v>
      </c>
      <c r="BE13" s="12">
        <f>L13-BD13</f>
        <v>517</v>
      </c>
      <c r="BF13" s="12"/>
      <c r="BG13" s="12">
        <v>2</v>
      </c>
      <c r="BH13" s="12">
        <f>IF(BG13=2,1,0)</f>
        <v>1</v>
      </c>
      <c r="BI13" s="12">
        <v>94</v>
      </c>
      <c r="BJ13" s="12">
        <f>S13+V13+Y13+AB13+AE13+AH13+AK13+AN13+AQ13+AT13+AW13+AZ13+BC13+BH13</f>
        <v>11</v>
      </c>
      <c r="BK13" s="12">
        <f>T13+W13+Z13+AC13+AF13+AI13+AL13+AL13+AO13+AR13+AU13+AX13+BD13+BI13</f>
        <v>402</v>
      </c>
      <c r="BL13" s="12">
        <v>4</v>
      </c>
      <c r="BM13" s="12">
        <v>3</v>
      </c>
      <c r="BN13" s="12">
        <v>4</v>
      </c>
      <c r="BO13" s="12">
        <v>4</v>
      </c>
      <c r="BP13" s="12">
        <v>4</v>
      </c>
      <c r="BQ13" s="12">
        <v>4</v>
      </c>
      <c r="BR13" s="12">
        <v>4</v>
      </c>
      <c r="BS13" s="12">
        <v>4</v>
      </c>
      <c r="BT13" s="12">
        <v>4</v>
      </c>
      <c r="BU13" s="12">
        <v>4</v>
      </c>
      <c r="BV13" s="12">
        <v>4</v>
      </c>
      <c r="BW13" s="12">
        <v>4</v>
      </c>
      <c r="BX13" s="12">
        <v>4</v>
      </c>
      <c r="BY13" s="12">
        <v>3</v>
      </c>
      <c r="BZ13" s="12">
        <v>4</v>
      </c>
      <c r="CA13" s="12">
        <v>4</v>
      </c>
      <c r="CB13" s="12">
        <v>4</v>
      </c>
      <c r="CC13" s="12">
        <v>2</v>
      </c>
      <c r="CD13" s="12">
        <v>4</v>
      </c>
      <c r="CE13" s="12">
        <v>1</v>
      </c>
      <c r="CF13" s="12">
        <v>4</v>
      </c>
      <c r="CG13" s="12">
        <v>4</v>
      </c>
      <c r="CH13" s="12">
        <v>4</v>
      </c>
      <c r="CI13" s="12">
        <v>4</v>
      </c>
      <c r="CJ13" s="12">
        <v>2</v>
      </c>
      <c r="CK13" s="12">
        <v>3</v>
      </c>
      <c r="CL13" s="12">
        <v>4</v>
      </c>
      <c r="CM13" s="12">
        <v>4</v>
      </c>
      <c r="CN13" s="12">
        <v>4</v>
      </c>
      <c r="CO13" s="12">
        <v>3</v>
      </c>
    </row>
    <row r="14" spans="1:93" x14ac:dyDescent="0.25">
      <c r="A14" s="22" t="s">
        <v>326</v>
      </c>
      <c r="B14" s="22">
        <v>0</v>
      </c>
      <c r="C14" s="12">
        <v>57</v>
      </c>
      <c r="D14" s="12">
        <v>0</v>
      </c>
      <c r="E14" s="12">
        <v>0</v>
      </c>
      <c r="F14" s="12">
        <v>0</v>
      </c>
      <c r="G14" s="12">
        <v>1</v>
      </c>
      <c r="H14" s="12">
        <v>1</v>
      </c>
      <c r="I14" s="12">
        <v>0</v>
      </c>
      <c r="J14" s="12">
        <v>2</v>
      </c>
      <c r="K14" s="12">
        <v>2</v>
      </c>
      <c r="L14" s="12">
        <v>316</v>
      </c>
      <c r="M14" s="12">
        <f>IF(K14=2,1,0)</f>
        <v>1</v>
      </c>
      <c r="N14" s="12">
        <v>6</v>
      </c>
      <c r="O14" s="12">
        <v>2</v>
      </c>
      <c r="P14" s="12">
        <v>11</v>
      </c>
      <c r="Q14" s="12">
        <v>4</v>
      </c>
      <c r="R14" s="12">
        <v>4</v>
      </c>
      <c r="S14" s="12">
        <f>IF(R14=4,1,0)</f>
        <v>1</v>
      </c>
      <c r="T14" s="12">
        <v>46</v>
      </c>
      <c r="U14" s="12">
        <v>6</v>
      </c>
      <c r="V14" s="12">
        <f>IF(U14=6,1,0)</f>
        <v>1</v>
      </c>
      <c r="W14" s="12">
        <v>8</v>
      </c>
      <c r="X14" s="12">
        <v>2000</v>
      </c>
      <c r="Y14" s="12">
        <f>IF(X14=2000,1,0)</f>
        <v>1</v>
      </c>
      <c r="Z14" s="12">
        <v>14</v>
      </c>
      <c r="AA14" s="12">
        <v>2524.9499999999998</v>
      </c>
      <c r="AB14" s="12">
        <f>IF(AA14=2524.95,1,0)</f>
        <v>1</v>
      </c>
      <c r="AC14" s="12">
        <v>153</v>
      </c>
      <c r="AD14" s="12">
        <v>1980.25</v>
      </c>
      <c r="AE14" s="12">
        <v>1</v>
      </c>
      <c r="AF14" s="12">
        <v>148</v>
      </c>
      <c r="AG14" s="12">
        <v>1</v>
      </c>
      <c r="AH14" s="12">
        <f>IF(AG14=1,1,0)</f>
        <v>1</v>
      </c>
      <c r="AI14" s="12">
        <v>13</v>
      </c>
      <c r="AJ14" s="12">
        <v>0</v>
      </c>
      <c r="AK14" s="12">
        <f>IF(AJ14=0,1,0)</f>
        <v>1</v>
      </c>
      <c r="AL14" s="12">
        <v>18</v>
      </c>
      <c r="AM14" s="12">
        <v>0</v>
      </c>
      <c r="AN14" s="12">
        <f>IF(AM14=0,1,0)</f>
        <v>1</v>
      </c>
      <c r="AO14" s="12">
        <v>34</v>
      </c>
      <c r="AP14" s="12">
        <v>2</v>
      </c>
      <c r="AQ14" s="12">
        <f>IF(AP14=0,1,0)</f>
        <v>0</v>
      </c>
      <c r="AR14" s="12">
        <v>20</v>
      </c>
      <c r="AS14" s="12">
        <v>3</v>
      </c>
      <c r="AT14" s="12">
        <f>IF(AS14=2,1,0)</f>
        <v>0</v>
      </c>
      <c r="AU14" s="12">
        <v>56</v>
      </c>
      <c r="AV14" s="12">
        <v>1</v>
      </c>
      <c r="AW14" s="12">
        <f>IF(AV14=1,1,0)</f>
        <v>1</v>
      </c>
      <c r="AX14" s="12">
        <v>9</v>
      </c>
      <c r="AY14" s="12">
        <v>3</v>
      </c>
      <c r="AZ14" s="12">
        <f>IF(AY14=3,1,0)</f>
        <v>1</v>
      </c>
      <c r="BA14" s="12">
        <v>41</v>
      </c>
      <c r="BB14" s="12">
        <v>2</v>
      </c>
      <c r="BC14" s="12">
        <f>IF(BB14=2,1,0)</f>
        <v>1</v>
      </c>
      <c r="BD14" s="12">
        <v>13</v>
      </c>
      <c r="BE14" s="12">
        <f>L14-BD14</f>
        <v>303</v>
      </c>
      <c r="BF14" s="12"/>
      <c r="BG14" s="12">
        <v>1</v>
      </c>
      <c r="BH14" s="12">
        <f>IF(BG14=2,1,0)</f>
        <v>0</v>
      </c>
      <c r="BI14" s="12">
        <v>215</v>
      </c>
      <c r="BJ14" s="12">
        <f>S14+V14+Y14+AB14+AE14+AH14+AK14+AN14+AQ14+AT14+AW14+AZ14+BC14+BH14</f>
        <v>11</v>
      </c>
      <c r="BK14" s="12">
        <f>T14+W14+Z14+AC14+AF14+AI14+AL14+AL14+AO14+AR14+AU14+AX14+BD14+BI14</f>
        <v>765</v>
      </c>
      <c r="BL14" s="12">
        <v>4</v>
      </c>
      <c r="BM14" s="12">
        <v>4</v>
      </c>
      <c r="BN14" s="12">
        <v>4</v>
      </c>
      <c r="BO14" s="12">
        <v>3</v>
      </c>
      <c r="BP14" s="12">
        <v>4</v>
      </c>
      <c r="BQ14" s="12">
        <v>4</v>
      </c>
      <c r="BR14" s="12">
        <v>4</v>
      </c>
      <c r="BS14" s="12">
        <v>2</v>
      </c>
      <c r="BT14" s="12">
        <v>4</v>
      </c>
      <c r="BU14" s="12">
        <v>4</v>
      </c>
      <c r="BV14" s="12">
        <v>4</v>
      </c>
      <c r="BW14" s="12">
        <v>4</v>
      </c>
      <c r="BX14" s="12">
        <v>4</v>
      </c>
      <c r="BY14" s="12">
        <v>4</v>
      </c>
      <c r="BZ14" s="12">
        <v>4</v>
      </c>
      <c r="CA14" s="12">
        <v>4</v>
      </c>
      <c r="CB14" s="12">
        <v>4</v>
      </c>
      <c r="CC14" s="12">
        <v>4</v>
      </c>
      <c r="CD14" s="12">
        <v>4</v>
      </c>
      <c r="CE14" s="12">
        <v>4</v>
      </c>
      <c r="CF14" s="12">
        <v>4</v>
      </c>
      <c r="CG14" s="12">
        <v>4</v>
      </c>
      <c r="CH14" s="12">
        <v>4</v>
      </c>
      <c r="CI14" s="12">
        <v>4</v>
      </c>
      <c r="CJ14" s="12">
        <v>4</v>
      </c>
      <c r="CK14" s="12">
        <v>3</v>
      </c>
      <c r="CL14" s="12">
        <v>4</v>
      </c>
      <c r="CM14" s="12">
        <v>4</v>
      </c>
      <c r="CN14" s="12">
        <v>4</v>
      </c>
      <c r="CO14" s="12">
        <v>4</v>
      </c>
    </row>
    <row r="15" spans="1:93" x14ac:dyDescent="0.25">
      <c r="A15" s="22" t="s">
        <v>327</v>
      </c>
      <c r="B15" s="22">
        <v>0</v>
      </c>
      <c r="C15" s="12">
        <v>21</v>
      </c>
      <c r="D15" s="12">
        <v>0</v>
      </c>
      <c r="E15" s="12">
        <v>1</v>
      </c>
      <c r="F15" s="12">
        <v>1</v>
      </c>
      <c r="G15" s="12">
        <v>1</v>
      </c>
      <c r="H15" s="12">
        <v>0</v>
      </c>
      <c r="I15" s="12">
        <v>0</v>
      </c>
      <c r="J15" s="12">
        <v>1</v>
      </c>
      <c r="K15" s="12">
        <v>2</v>
      </c>
      <c r="L15" s="12">
        <v>47</v>
      </c>
      <c r="M15" s="12">
        <f>IF(K15=2,1,0)</f>
        <v>1</v>
      </c>
      <c r="N15" s="12">
        <v>6</v>
      </c>
      <c r="O15" s="12">
        <v>8</v>
      </c>
      <c r="P15" s="12">
        <v>7</v>
      </c>
      <c r="Q15" s="12">
        <v>7</v>
      </c>
      <c r="R15" s="12">
        <v>4</v>
      </c>
      <c r="S15" s="12">
        <f>IF(R15=4,1,0)</f>
        <v>1</v>
      </c>
      <c r="T15" s="12">
        <v>145</v>
      </c>
      <c r="U15" s="12">
        <v>0.06</v>
      </c>
      <c r="V15" s="12">
        <v>1</v>
      </c>
      <c r="W15" s="12">
        <v>28</v>
      </c>
      <c r="X15" s="12">
        <v>2000</v>
      </c>
      <c r="Y15" s="12">
        <f>IF(X15=2000,1,0)</f>
        <v>1</v>
      </c>
      <c r="Z15" s="12">
        <v>13</v>
      </c>
      <c r="AA15" s="12">
        <v>2524.9499999999998</v>
      </c>
      <c r="AB15" s="12">
        <f>IF(AA15=2524.95,1,0)</f>
        <v>1</v>
      </c>
      <c r="AC15" s="12">
        <v>18</v>
      </c>
      <c r="AD15" s="12">
        <v>1980.23</v>
      </c>
      <c r="AE15" s="12">
        <f>IF(AD15=1980.23,1,0)</f>
        <v>1</v>
      </c>
      <c r="AF15" s="12">
        <v>22</v>
      </c>
      <c r="AG15" s="12">
        <v>1</v>
      </c>
      <c r="AH15" s="12">
        <f>IF(AG15=1,1,0)</f>
        <v>1</v>
      </c>
      <c r="AI15" s="12">
        <v>9</v>
      </c>
      <c r="AJ15" s="12">
        <v>0</v>
      </c>
      <c r="AK15" s="12">
        <f>IF(AJ15=0,1,0)</f>
        <v>1</v>
      </c>
      <c r="AL15" s="12">
        <v>16</v>
      </c>
      <c r="AM15" s="12">
        <v>3</v>
      </c>
      <c r="AN15" s="12">
        <f>IF(AM15=0,1,0)</f>
        <v>0</v>
      </c>
      <c r="AO15" s="12">
        <v>33</v>
      </c>
      <c r="AP15" s="12">
        <v>0</v>
      </c>
      <c r="AQ15" s="12">
        <f>IF(AP15=0,1,0)</f>
        <v>1</v>
      </c>
      <c r="AR15" s="12">
        <v>22</v>
      </c>
      <c r="AS15" s="12">
        <v>2</v>
      </c>
      <c r="AT15" s="12">
        <f>IF(AS15=2,1,0)</f>
        <v>1</v>
      </c>
      <c r="AU15" s="12">
        <v>13</v>
      </c>
      <c r="AV15" s="12">
        <v>1</v>
      </c>
      <c r="AW15" s="12">
        <f>IF(AV15=1,1,0)</f>
        <v>1</v>
      </c>
      <c r="AX15" s="12">
        <v>6</v>
      </c>
      <c r="AY15" s="12">
        <v>3</v>
      </c>
      <c r="AZ15" s="12">
        <f>IF(AY15=3,1,0)</f>
        <v>1</v>
      </c>
      <c r="BA15" s="12">
        <v>24</v>
      </c>
      <c r="BB15" s="12">
        <v>2</v>
      </c>
      <c r="BC15" s="12">
        <f>IF(BB15=2,1,0)</f>
        <v>1</v>
      </c>
      <c r="BD15" s="12">
        <v>26</v>
      </c>
      <c r="BE15" s="12">
        <f>L15-BD15</f>
        <v>21</v>
      </c>
      <c r="BF15" s="12"/>
      <c r="BG15" s="12">
        <v>2</v>
      </c>
      <c r="BH15" s="12">
        <f>IF(BG15=2,1,0)</f>
        <v>1</v>
      </c>
      <c r="BI15" s="12">
        <v>77</v>
      </c>
      <c r="BJ15" s="12">
        <f>S15+V15+Y15+AB15+AE15+AH15+AK15+AN15+AQ15+AT15+AW15+AZ15+BC15+BH15</f>
        <v>13</v>
      </c>
      <c r="BK15" s="12">
        <f>T15+W15+Z15+AC15+AF15+AI15+AL15+AL15+AO15+AR15+AU15+AX15+BD15+BI15</f>
        <v>444</v>
      </c>
      <c r="BL15" s="12">
        <v>4</v>
      </c>
      <c r="BM15" s="12">
        <v>1</v>
      </c>
      <c r="BN15" s="12">
        <v>3</v>
      </c>
      <c r="BO15" s="12">
        <v>1</v>
      </c>
      <c r="BP15" s="12">
        <v>4</v>
      </c>
      <c r="BQ15" s="12">
        <v>4</v>
      </c>
      <c r="BR15" s="12">
        <v>4</v>
      </c>
      <c r="BS15" s="12">
        <v>0</v>
      </c>
      <c r="BT15" s="12">
        <v>1</v>
      </c>
      <c r="BU15" s="12">
        <v>3</v>
      </c>
      <c r="BV15" s="12">
        <v>2</v>
      </c>
      <c r="BW15" s="12">
        <v>2</v>
      </c>
      <c r="BX15" s="12">
        <v>4</v>
      </c>
      <c r="BY15" s="12">
        <v>3</v>
      </c>
      <c r="BZ15" s="12">
        <v>4</v>
      </c>
      <c r="CA15" s="12">
        <v>1</v>
      </c>
      <c r="CB15" s="12">
        <v>3</v>
      </c>
      <c r="CC15" s="12">
        <v>4</v>
      </c>
      <c r="CD15" s="12">
        <v>4</v>
      </c>
      <c r="CE15" s="12">
        <v>0</v>
      </c>
      <c r="CF15" s="12">
        <v>1</v>
      </c>
      <c r="CG15" s="12">
        <v>0</v>
      </c>
      <c r="CH15" s="12">
        <v>1</v>
      </c>
      <c r="CI15" s="12">
        <v>2</v>
      </c>
      <c r="CJ15" s="12">
        <v>1</v>
      </c>
      <c r="CK15" s="12">
        <v>3</v>
      </c>
      <c r="CL15" s="12">
        <v>4</v>
      </c>
      <c r="CM15" s="12">
        <v>4</v>
      </c>
      <c r="CN15" s="12">
        <v>3</v>
      </c>
      <c r="CO15" s="12">
        <v>3</v>
      </c>
    </row>
    <row r="16" spans="1:93" x14ac:dyDescent="0.25">
      <c r="A16" s="22" t="s">
        <v>328</v>
      </c>
      <c r="B16" s="22">
        <v>0</v>
      </c>
      <c r="C16" s="12">
        <v>27</v>
      </c>
      <c r="D16" s="12">
        <v>0</v>
      </c>
      <c r="E16" s="12">
        <v>1</v>
      </c>
      <c r="F16" s="12">
        <v>1</v>
      </c>
      <c r="G16" s="12">
        <v>2</v>
      </c>
      <c r="H16" s="12">
        <v>1</v>
      </c>
      <c r="I16" s="12">
        <v>0</v>
      </c>
      <c r="J16" s="12">
        <v>0</v>
      </c>
      <c r="K16" s="12">
        <v>2</v>
      </c>
      <c r="L16" s="12">
        <v>403</v>
      </c>
      <c r="M16" s="12">
        <f>IF(K16=2,1,0)</f>
        <v>1</v>
      </c>
      <c r="N16" s="12">
        <v>6</v>
      </c>
      <c r="O16" s="12">
        <v>9</v>
      </c>
      <c r="P16" s="12">
        <v>4</v>
      </c>
      <c r="Q16" s="12">
        <v>8</v>
      </c>
      <c r="R16" s="12">
        <v>4</v>
      </c>
      <c r="S16" s="12">
        <f>IF(R16=4,1,0)</f>
        <v>1</v>
      </c>
      <c r="T16" s="12">
        <v>62</v>
      </c>
      <c r="U16" s="12">
        <v>6</v>
      </c>
      <c r="V16" s="12">
        <f>IF(U16=6,1,0)</f>
        <v>1</v>
      </c>
      <c r="W16" s="12">
        <v>23</v>
      </c>
      <c r="X16" s="12">
        <v>2000</v>
      </c>
      <c r="Y16" s="12">
        <f>IF(X16=2000,1,0)</f>
        <v>1</v>
      </c>
      <c r="Z16" s="12">
        <v>21</v>
      </c>
      <c r="AA16" s="12">
        <v>2524.9499999999998</v>
      </c>
      <c r="AB16" s="12">
        <f>IF(AA16=2524.95,1,0)</f>
        <v>1</v>
      </c>
      <c r="AC16" s="12">
        <v>66</v>
      </c>
      <c r="AD16" s="12">
        <v>1980.23</v>
      </c>
      <c r="AE16" s="12">
        <f>IF(AD16=1980.23,1,0)</f>
        <v>1</v>
      </c>
      <c r="AF16" s="12">
        <v>95</v>
      </c>
      <c r="AG16" s="12">
        <v>1</v>
      </c>
      <c r="AH16" s="12">
        <f>IF(AG16=1,1,0)</f>
        <v>1</v>
      </c>
      <c r="AI16" s="12">
        <v>38</v>
      </c>
      <c r="AJ16" s="12">
        <v>0</v>
      </c>
      <c r="AK16" s="12">
        <f>IF(AJ16=0,1,0)</f>
        <v>1</v>
      </c>
      <c r="AL16" s="12">
        <v>25</v>
      </c>
      <c r="AM16" s="12">
        <v>0</v>
      </c>
      <c r="AN16" s="12">
        <f>IF(AM16=0,1,0)</f>
        <v>1</v>
      </c>
      <c r="AO16" s="12">
        <v>172</v>
      </c>
      <c r="AP16" s="12">
        <v>0</v>
      </c>
      <c r="AQ16" s="12">
        <f>IF(AP16=0,1,0)</f>
        <v>1</v>
      </c>
      <c r="AR16" s="12">
        <v>84</v>
      </c>
      <c r="AS16" s="12">
        <v>2</v>
      </c>
      <c r="AT16" s="12">
        <f>IF(AS16=2,1,0)</f>
        <v>1</v>
      </c>
      <c r="AU16" s="12">
        <v>78</v>
      </c>
      <c r="AV16" s="12">
        <v>1</v>
      </c>
      <c r="AW16" s="12">
        <f>IF(AV16=1,1,0)</f>
        <v>1</v>
      </c>
      <c r="AX16" s="12">
        <v>15</v>
      </c>
      <c r="AY16" s="12">
        <v>3</v>
      </c>
      <c r="AZ16" s="12">
        <f>IF(AY16=3,1,0)</f>
        <v>1</v>
      </c>
      <c r="BA16" s="12">
        <v>36</v>
      </c>
      <c r="BB16" s="12">
        <v>2</v>
      </c>
      <c r="BC16" s="12">
        <f>IF(BB16=2,1,0)</f>
        <v>1</v>
      </c>
      <c r="BD16" s="12">
        <v>129</v>
      </c>
      <c r="BE16" s="12">
        <f>L16-BD16</f>
        <v>274</v>
      </c>
      <c r="BF16" s="12"/>
      <c r="BG16" s="12">
        <v>2</v>
      </c>
      <c r="BH16" s="12">
        <f>IF(BG16=2,1,0)</f>
        <v>1</v>
      </c>
      <c r="BI16" s="12">
        <v>308</v>
      </c>
      <c r="BJ16" s="12">
        <f>S16+V16+Y16+AB16+AE16+AH16+AK16+AN16+AQ16+AT16+AW16+AZ16+BC16+BH16</f>
        <v>14</v>
      </c>
      <c r="BK16" s="12">
        <f>T16+W16+Z16+AC16+AF16+AI16+AL16+AL16+AO16+AR16+AU16+AX16+BD16+BI16</f>
        <v>1141</v>
      </c>
      <c r="BL16" s="12">
        <v>4</v>
      </c>
      <c r="BM16" s="12">
        <v>4</v>
      </c>
      <c r="BN16" s="12">
        <v>4</v>
      </c>
      <c r="BO16" s="12">
        <v>4</v>
      </c>
      <c r="BP16" s="12">
        <v>4</v>
      </c>
      <c r="BQ16" s="12">
        <v>4</v>
      </c>
      <c r="BR16" s="12">
        <v>4</v>
      </c>
      <c r="BS16" s="12">
        <v>3</v>
      </c>
      <c r="BT16" s="12">
        <v>3</v>
      </c>
      <c r="BU16" s="12">
        <v>4</v>
      </c>
      <c r="BV16" s="12">
        <v>4</v>
      </c>
      <c r="BW16" s="12">
        <v>4</v>
      </c>
      <c r="BX16" s="12">
        <v>4</v>
      </c>
      <c r="BY16" s="12">
        <v>4</v>
      </c>
      <c r="BZ16" s="12">
        <v>4</v>
      </c>
      <c r="CA16" s="12">
        <v>4</v>
      </c>
      <c r="CB16" s="12">
        <v>4</v>
      </c>
      <c r="CC16" s="12">
        <v>4</v>
      </c>
      <c r="CD16" s="12">
        <v>4</v>
      </c>
      <c r="CE16" s="12">
        <v>4</v>
      </c>
      <c r="CF16" s="12">
        <v>4</v>
      </c>
      <c r="CG16" s="12">
        <v>4</v>
      </c>
      <c r="CH16" s="12">
        <v>4</v>
      </c>
      <c r="CI16" s="12">
        <v>4</v>
      </c>
      <c r="CJ16" s="12">
        <v>4</v>
      </c>
      <c r="CK16" s="12">
        <v>4</v>
      </c>
      <c r="CL16" s="12">
        <v>4</v>
      </c>
      <c r="CM16" s="12">
        <v>4</v>
      </c>
      <c r="CN16" s="12">
        <v>4</v>
      </c>
      <c r="CO16" s="12">
        <v>4</v>
      </c>
    </row>
    <row r="17" spans="1:93" x14ac:dyDescent="0.25">
      <c r="A17" s="22" t="s">
        <v>329</v>
      </c>
      <c r="B17" s="22">
        <v>0</v>
      </c>
      <c r="C17" s="12">
        <v>25</v>
      </c>
      <c r="D17" s="12">
        <v>0</v>
      </c>
      <c r="E17" s="12">
        <v>1</v>
      </c>
      <c r="F17" s="12">
        <v>1</v>
      </c>
      <c r="G17" s="12">
        <v>2</v>
      </c>
      <c r="H17" s="12">
        <v>4</v>
      </c>
      <c r="I17" s="12">
        <v>1</v>
      </c>
      <c r="K17" s="12">
        <v>2</v>
      </c>
      <c r="L17" s="12">
        <v>68</v>
      </c>
      <c r="M17" s="12">
        <f>IF(K17=2,1,0)</f>
        <v>1</v>
      </c>
      <c r="N17" s="12">
        <v>8</v>
      </c>
      <c r="O17" s="12">
        <v>9</v>
      </c>
      <c r="P17" s="12">
        <v>8</v>
      </c>
      <c r="Q17" s="12">
        <v>7</v>
      </c>
      <c r="R17" s="12">
        <v>2500</v>
      </c>
      <c r="S17" s="12">
        <f>IF(R17=4,1,0)</f>
        <v>0</v>
      </c>
      <c r="T17" s="12">
        <v>43</v>
      </c>
      <c r="U17" s="12">
        <v>200</v>
      </c>
      <c r="V17" s="12">
        <f>IF(U17=6,1,0)</f>
        <v>0</v>
      </c>
      <c r="W17" s="12">
        <v>23</v>
      </c>
      <c r="X17" s="12">
        <v>6</v>
      </c>
      <c r="Y17" s="12">
        <f>IF(X17=2000,1,0)</f>
        <v>0</v>
      </c>
      <c r="Z17" s="12">
        <v>7</v>
      </c>
      <c r="AA17" s="12">
        <v>2938</v>
      </c>
      <c r="AB17" s="12">
        <f>IF(AA17=2524.95,1,0)</f>
        <v>0</v>
      </c>
      <c r="AC17" s="12">
        <v>213</v>
      </c>
      <c r="AD17" s="12">
        <v>1900</v>
      </c>
      <c r="AE17" s="12">
        <f>IF(AD17=1980.23,1,0)</f>
        <v>0</v>
      </c>
      <c r="AF17" s="12">
        <v>33</v>
      </c>
      <c r="AG17" s="12">
        <v>1</v>
      </c>
      <c r="AH17" s="12">
        <f>IF(AG17=1,1,0)</f>
        <v>1</v>
      </c>
      <c r="AI17" s="12">
        <v>32</v>
      </c>
      <c r="AJ17" s="12">
        <v>0</v>
      </c>
      <c r="AK17" s="12">
        <f>IF(AJ17=0,1,0)</f>
        <v>1</v>
      </c>
      <c r="AL17" s="12">
        <v>18</v>
      </c>
      <c r="AM17" s="12">
        <v>3</v>
      </c>
      <c r="AN17" s="12">
        <f>IF(AM17=0,1,0)</f>
        <v>0</v>
      </c>
      <c r="AO17" s="12">
        <v>9</v>
      </c>
      <c r="AP17" s="12">
        <v>2</v>
      </c>
      <c r="AQ17" s="12">
        <f>IF(AP17=0,1,0)</f>
        <v>0</v>
      </c>
      <c r="AR17" s="12">
        <v>10</v>
      </c>
      <c r="AS17" s="12">
        <v>3</v>
      </c>
      <c r="AT17" s="12">
        <f>IF(AS17=2,1,0)</f>
        <v>0</v>
      </c>
      <c r="AU17" s="12">
        <v>11</v>
      </c>
      <c r="AV17" s="12">
        <v>2</v>
      </c>
      <c r="AW17" s="12">
        <f>IF(AV17=1,1,0)</f>
        <v>0</v>
      </c>
      <c r="AX17" s="12">
        <v>6</v>
      </c>
      <c r="AY17" s="12">
        <v>3</v>
      </c>
      <c r="AZ17" s="12">
        <f>IF(AY17=3,1,0)</f>
        <v>1</v>
      </c>
      <c r="BA17" s="12">
        <v>11</v>
      </c>
      <c r="BB17" s="12">
        <v>1</v>
      </c>
      <c r="BC17" s="12">
        <f>IF(BB17=2,1,0)</f>
        <v>0</v>
      </c>
      <c r="BD17" s="12">
        <v>20</v>
      </c>
      <c r="BE17" s="12">
        <f>L17-BD17</f>
        <v>48</v>
      </c>
      <c r="BF17" s="12"/>
      <c r="BG17" s="12">
        <v>2</v>
      </c>
      <c r="BH17" s="12">
        <f>IF(BG17=2,1,0)</f>
        <v>1</v>
      </c>
      <c r="BI17" s="12">
        <v>14</v>
      </c>
      <c r="BJ17" s="12">
        <f>S17+V17+Y17+AB17+AE17+AH17+AK17+AN17+AQ17+AT17+AW17+AZ17+BC17+BH17</f>
        <v>4</v>
      </c>
      <c r="BK17" s="12">
        <f>T17+W17+Z17+AC17+AF17+AI17+AL17+AL17+AO17+AR17+AU17+AX17+BD17+BI17</f>
        <v>457</v>
      </c>
      <c r="BL17" s="12">
        <v>3</v>
      </c>
      <c r="BM17" s="12">
        <v>2</v>
      </c>
      <c r="BN17" s="12">
        <v>0</v>
      </c>
      <c r="BO17" s="12">
        <v>1</v>
      </c>
      <c r="BP17" s="12">
        <v>2</v>
      </c>
      <c r="BQ17" s="12">
        <v>3</v>
      </c>
      <c r="BR17" s="12">
        <v>3</v>
      </c>
      <c r="BS17" s="12">
        <v>2</v>
      </c>
      <c r="BT17" s="12">
        <v>3</v>
      </c>
      <c r="BU17" s="12">
        <v>2</v>
      </c>
      <c r="BV17" s="12">
        <v>2</v>
      </c>
      <c r="BW17" s="12">
        <v>3</v>
      </c>
      <c r="BX17" s="12">
        <v>3</v>
      </c>
      <c r="BY17" s="12">
        <v>3</v>
      </c>
      <c r="BZ17" s="12">
        <v>4</v>
      </c>
      <c r="CA17" s="12">
        <v>3</v>
      </c>
      <c r="CB17" s="12">
        <v>2</v>
      </c>
      <c r="CC17" s="12">
        <v>3</v>
      </c>
      <c r="CD17" s="12">
        <v>2</v>
      </c>
      <c r="CE17" s="12">
        <v>2</v>
      </c>
      <c r="CF17" s="12">
        <v>3</v>
      </c>
      <c r="CG17" s="12">
        <v>3</v>
      </c>
      <c r="CH17" s="12">
        <v>2</v>
      </c>
      <c r="CI17" s="12">
        <v>1</v>
      </c>
      <c r="CJ17" s="12">
        <v>1</v>
      </c>
      <c r="CK17" s="12">
        <v>2</v>
      </c>
      <c r="CL17" s="12">
        <v>3</v>
      </c>
      <c r="CM17" s="12">
        <v>3</v>
      </c>
      <c r="CN17" s="12">
        <v>2</v>
      </c>
      <c r="CO17" s="12">
        <v>3</v>
      </c>
    </row>
    <row r="18" spans="1:93" x14ac:dyDescent="0.25">
      <c r="A18" s="22" t="s">
        <v>330</v>
      </c>
      <c r="B18" s="22">
        <v>0</v>
      </c>
      <c r="C18" s="12">
        <v>60</v>
      </c>
      <c r="D18" s="12">
        <v>0</v>
      </c>
      <c r="E18" s="12">
        <v>0</v>
      </c>
      <c r="F18" s="12">
        <v>1</v>
      </c>
      <c r="G18" s="12">
        <v>2</v>
      </c>
      <c r="H18" s="12">
        <v>6</v>
      </c>
      <c r="I18" s="12">
        <v>1</v>
      </c>
      <c r="J18" s="12"/>
      <c r="K18" s="12">
        <v>3</v>
      </c>
      <c r="L18" s="12">
        <v>168</v>
      </c>
      <c r="M18" s="12">
        <f>IF(K18=2,1,0)</f>
        <v>0</v>
      </c>
      <c r="N18" s="12">
        <v>2</v>
      </c>
      <c r="O18" s="12">
        <v>5</v>
      </c>
      <c r="P18" s="12">
        <v>6</v>
      </c>
      <c r="Q18" s="12">
        <v>2</v>
      </c>
      <c r="R18" s="12">
        <v>4</v>
      </c>
      <c r="S18" s="12">
        <f>IF(R18=4,1,0)</f>
        <v>1</v>
      </c>
      <c r="T18" s="12">
        <v>20</v>
      </c>
      <c r="U18" s="12">
        <v>6</v>
      </c>
      <c r="V18" s="12">
        <f>IF(U18=6,1,0)</f>
        <v>1</v>
      </c>
      <c r="W18" s="12">
        <v>5</v>
      </c>
      <c r="X18" s="12">
        <v>2000</v>
      </c>
      <c r="Y18" s="12">
        <f>IF(X18=2000,1,0)</f>
        <v>1</v>
      </c>
      <c r="Z18" s="12">
        <v>12</v>
      </c>
      <c r="AA18" s="12">
        <v>2621.59</v>
      </c>
      <c r="AB18" s="12">
        <f>IF(AA18=2524.95,1,0)</f>
        <v>0</v>
      </c>
      <c r="AC18" s="12">
        <v>149</v>
      </c>
      <c r="AD18" s="12">
        <v>1980.23</v>
      </c>
      <c r="AE18" s="12">
        <f>IF(AD18=1980.23,1,0)</f>
        <v>1</v>
      </c>
      <c r="AF18" s="12">
        <v>98</v>
      </c>
      <c r="AG18" s="12">
        <v>0</v>
      </c>
      <c r="AH18" s="12">
        <f>IF(AG18=1,1,0)</f>
        <v>0</v>
      </c>
      <c r="AI18" s="12">
        <v>27</v>
      </c>
      <c r="AJ18" s="12">
        <v>0</v>
      </c>
      <c r="AK18" s="12">
        <f>IF(AJ18=0,1,0)</f>
        <v>1</v>
      </c>
      <c r="AL18" s="12">
        <v>9</v>
      </c>
      <c r="AM18" s="12">
        <v>0</v>
      </c>
      <c r="AN18" s="12">
        <f>IF(AM18=0,1,0)</f>
        <v>1</v>
      </c>
      <c r="AO18" s="12">
        <v>14</v>
      </c>
      <c r="AP18" s="12">
        <v>0</v>
      </c>
      <c r="AQ18" s="12">
        <f>IF(AP18=0,1,0)</f>
        <v>1</v>
      </c>
      <c r="AR18" s="12">
        <v>24</v>
      </c>
      <c r="AS18" s="12">
        <v>2</v>
      </c>
      <c r="AT18" s="12">
        <f>IF(AS18=2,1,0)</f>
        <v>1</v>
      </c>
      <c r="AU18" s="12">
        <v>8</v>
      </c>
      <c r="AV18" s="12">
        <v>1</v>
      </c>
      <c r="AW18" s="12">
        <f>IF(AV18=1,1,0)</f>
        <v>1</v>
      </c>
      <c r="AX18" s="12">
        <v>3</v>
      </c>
      <c r="AY18" s="12">
        <v>3</v>
      </c>
      <c r="AZ18" s="12">
        <f>IF(AY18=3,1,0)</f>
        <v>1</v>
      </c>
      <c r="BA18" s="12">
        <v>21</v>
      </c>
      <c r="BB18" s="12">
        <v>2</v>
      </c>
      <c r="BC18" s="12">
        <f>IF(BB18=2,1,0)</f>
        <v>1</v>
      </c>
      <c r="BD18" s="12">
        <v>66</v>
      </c>
      <c r="BE18" s="12">
        <f>L18-BD18</f>
        <v>102</v>
      </c>
      <c r="BF18" s="12"/>
      <c r="BG18" s="12">
        <v>0</v>
      </c>
      <c r="BH18" s="12">
        <f>IF(BG18=2,1,0)</f>
        <v>0</v>
      </c>
      <c r="BI18" s="12">
        <v>305</v>
      </c>
      <c r="BJ18" s="12">
        <f>S18+V18+Y18+AB18+AE18+AH18+AK18+AN18+AQ18+AT18+AW18+AZ18+BC18+BH18</f>
        <v>11</v>
      </c>
      <c r="BK18" s="12">
        <f>T18+W18+Z18+AC18+AF18+AI18+AL18+AL18+AO18+AR18+AU18+AX18+BD18+BI18</f>
        <v>749</v>
      </c>
      <c r="BL18" s="12">
        <v>4</v>
      </c>
      <c r="BM18" s="12">
        <v>0</v>
      </c>
      <c r="BN18" s="12">
        <v>4</v>
      </c>
      <c r="BO18" s="12">
        <v>4</v>
      </c>
      <c r="BP18" s="12">
        <v>4</v>
      </c>
      <c r="BQ18" s="12">
        <v>4</v>
      </c>
      <c r="BR18" s="12">
        <v>4</v>
      </c>
      <c r="BS18" s="12">
        <v>4</v>
      </c>
      <c r="BT18" s="12">
        <v>4</v>
      </c>
      <c r="BU18" s="12">
        <v>4</v>
      </c>
      <c r="BV18" s="12">
        <v>4</v>
      </c>
      <c r="BW18" s="12">
        <v>4</v>
      </c>
      <c r="BX18" s="12">
        <v>4</v>
      </c>
      <c r="BY18" s="12">
        <v>4</v>
      </c>
      <c r="BZ18" s="12">
        <v>4</v>
      </c>
      <c r="CA18" s="12">
        <v>4</v>
      </c>
      <c r="CB18" s="12">
        <v>4</v>
      </c>
      <c r="CC18" s="12">
        <v>1</v>
      </c>
      <c r="CD18" s="12">
        <v>4</v>
      </c>
      <c r="CE18" s="12">
        <v>0</v>
      </c>
      <c r="CF18" s="12">
        <v>0</v>
      </c>
      <c r="CG18" s="12">
        <v>0</v>
      </c>
      <c r="CH18" s="12">
        <v>0</v>
      </c>
      <c r="CI18" s="12">
        <v>2</v>
      </c>
      <c r="CJ18" s="12">
        <v>2</v>
      </c>
      <c r="CK18" s="12">
        <v>4</v>
      </c>
      <c r="CL18" s="12">
        <v>4</v>
      </c>
      <c r="CM18" s="12">
        <v>4</v>
      </c>
      <c r="CN18" s="12">
        <v>4</v>
      </c>
      <c r="CO18" s="12">
        <v>4</v>
      </c>
    </row>
    <row r="19" spans="1:93" x14ac:dyDescent="0.25">
      <c r="A19" s="22" t="s">
        <v>331</v>
      </c>
      <c r="B19" s="22">
        <v>0</v>
      </c>
      <c r="C19" s="12">
        <v>21</v>
      </c>
      <c r="D19" s="12">
        <v>0</v>
      </c>
      <c r="E19" s="12">
        <v>1</v>
      </c>
      <c r="F19" s="12">
        <v>1</v>
      </c>
      <c r="G19" s="12">
        <v>1</v>
      </c>
      <c r="H19" s="12">
        <v>1</v>
      </c>
      <c r="I19" s="12">
        <v>0</v>
      </c>
      <c r="J19" s="12">
        <v>0</v>
      </c>
      <c r="K19" s="12">
        <v>2</v>
      </c>
      <c r="L19" s="12">
        <v>40</v>
      </c>
      <c r="M19" s="12">
        <f>IF(K19=2,1,0)</f>
        <v>1</v>
      </c>
      <c r="N19" s="12">
        <v>5</v>
      </c>
      <c r="O19" s="12">
        <v>6</v>
      </c>
      <c r="P19" s="12">
        <v>2</v>
      </c>
      <c r="Q19" s="12">
        <v>6</v>
      </c>
      <c r="R19" s="12">
        <v>3.8</v>
      </c>
      <c r="S19" s="12">
        <f>IF(R19=4,1,0)</f>
        <v>0</v>
      </c>
      <c r="T19" s="12">
        <v>76</v>
      </c>
      <c r="U19" s="12">
        <v>6</v>
      </c>
      <c r="V19" s="12">
        <f>IF(U19=6,1,0)</f>
        <v>1</v>
      </c>
      <c r="W19" s="12">
        <v>17</v>
      </c>
      <c r="X19" s="12">
        <v>2000</v>
      </c>
      <c r="Y19" s="12">
        <f>IF(X19=2000,1,0)</f>
        <v>1</v>
      </c>
      <c r="Z19" s="12">
        <v>10</v>
      </c>
      <c r="AA19" s="12">
        <v>2500</v>
      </c>
      <c r="AB19" s="12">
        <f>IF(AA19=2524.95,1,0)</f>
        <v>0</v>
      </c>
      <c r="AC19" s="12">
        <v>5</v>
      </c>
      <c r="AD19" s="12">
        <v>1980.23</v>
      </c>
      <c r="AE19" s="12">
        <f>IF(AD19=1980.23,1,0)</f>
        <v>1</v>
      </c>
      <c r="AF19" s="12">
        <v>27</v>
      </c>
      <c r="AG19" s="12">
        <v>0</v>
      </c>
      <c r="AH19" s="12">
        <f>IF(AG19=1,1,0)</f>
        <v>0</v>
      </c>
      <c r="AI19" s="12">
        <v>15</v>
      </c>
      <c r="AJ19" s="12">
        <v>0</v>
      </c>
      <c r="AK19" s="12">
        <f>IF(AJ19=0,1,0)</f>
        <v>1</v>
      </c>
      <c r="AL19" s="12">
        <v>10</v>
      </c>
      <c r="AM19" s="12">
        <v>0</v>
      </c>
      <c r="AN19" s="12">
        <f>IF(AM19=0,1,0)</f>
        <v>1</v>
      </c>
      <c r="AO19" s="12">
        <v>37</v>
      </c>
      <c r="AP19" s="12">
        <v>2</v>
      </c>
      <c r="AQ19" s="12">
        <f>IF(AP19=0,1,0)</f>
        <v>0</v>
      </c>
      <c r="AR19" s="12">
        <v>25</v>
      </c>
      <c r="AS19" s="12">
        <v>0</v>
      </c>
      <c r="AT19" s="12">
        <f>IF(AS19=2,1,0)</f>
        <v>0</v>
      </c>
      <c r="AU19" s="12">
        <v>37</v>
      </c>
      <c r="AV19" s="12">
        <v>1</v>
      </c>
      <c r="AW19" s="12">
        <f>IF(AV19=1,1,0)</f>
        <v>1</v>
      </c>
      <c r="AX19" s="12">
        <v>7</v>
      </c>
      <c r="AY19" s="12">
        <v>3</v>
      </c>
      <c r="AZ19" s="12">
        <f>IF(AY19=3,1,0)</f>
        <v>1</v>
      </c>
      <c r="BA19" s="12">
        <v>21</v>
      </c>
      <c r="BB19" s="12">
        <v>2</v>
      </c>
      <c r="BC19" s="12">
        <f>IF(BB19=2,1,0)</f>
        <v>1</v>
      </c>
      <c r="BD19" s="12">
        <v>40</v>
      </c>
      <c r="BE19" s="12">
        <f>L19-BD19</f>
        <v>0</v>
      </c>
      <c r="BF19" s="12"/>
      <c r="BG19" s="12">
        <v>3</v>
      </c>
      <c r="BH19" s="12">
        <f>IF(BG19=2,1,0)</f>
        <v>0</v>
      </c>
      <c r="BI19" s="12">
        <v>42</v>
      </c>
      <c r="BJ19" s="12">
        <f>S19+V19+Y19+AB19+AE19+AH19+AK19+AN19+AQ19+AT19+AW19+AZ19+BC19+BH19</f>
        <v>8</v>
      </c>
      <c r="BK19" s="12">
        <f>T19+W19+Z19+AC19+AF19+AI19+AL19+AL19+AO19+AR19+AU19+AX19+BD19+BI19</f>
        <v>358</v>
      </c>
      <c r="BL19" s="12">
        <v>4</v>
      </c>
      <c r="BM19" s="12">
        <v>3</v>
      </c>
      <c r="BN19" s="12">
        <v>3</v>
      </c>
      <c r="BO19" s="12">
        <v>4</v>
      </c>
      <c r="BP19" s="12">
        <v>4</v>
      </c>
      <c r="BQ19" s="12">
        <v>4</v>
      </c>
      <c r="BR19" s="12">
        <v>4</v>
      </c>
      <c r="BS19" s="12">
        <v>3</v>
      </c>
      <c r="BT19" s="12">
        <v>4</v>
      </c>
      <c r="BU19" s="12">
        <v>3</v>
      </c>
      <c r="BV19" s="12">
        <v>4</v>
      </c>
      <c r="BW19" s="12">
        <v>4</v>
      </c>
      <c r="BX19" s="12">
        <v>4</v>
      </c>
      <c r="BY19" s="12">
        <v>3</v>
      </c>
      <c r="BZ19" s="12">
        <v>3</v>
      </c>
      <c r="CA19" s="12">
        <v>2</v>
      </c>
      <c r="CB19" s="12">
        <v>4</v>
      </c>
      <c r="CC19" s="12">
        <v>4</v>
      </c>
      <c r="CD19" s="12">
        <v>3</v>
      </c>
      <c r="CE19" s="12">
        <v>3</v>
      </c>
      <c r="CF19" s="12">
        <v>3</v>
      </c>
      <c r="CG19" s="12">
        <v>4</v>
      </c>
      <c r="CH19" s="12">
        <v>3</v>
      </c>
      <c r="CI19" s="12">
        <v>3</v>
      </c>
      <c r="CJ19" s="12">
        <v>3</v>
      </c>
      <c r="CK19" s="12">
        <v>3</v>
      </c>
      <c r="CL19" s="12">
        <v>4</v>
      </c>
      <c r="CM19" s="12">
        <v>4</v>
      </c>
      <c r="CN19" s="12">
        <v>4</v>
      </c>
      <c r="CO19" s="12">
        <v>4</v>
      </c>
    </row>
    <row r="20" spans="1:93" x14ac:dyDescent="0.25">
      <c r="A20" s="22" t="s">
        <v>332</v>
      </c>
      <c r="B20" s="22">
        <v>0</v>
      </c>
      <c r="C20" s="12">
        <v>32</v>
      </c>
      <c r="D20" s="12">
        <v>0</v>
      </c>
      <c r="E20" s="12">
        <v>1</v>
      </c>
      <c r="F20" s="12">
        <v>0</v>
      </c>
      <c r="G20" s="12">
        <v>2</v>
      </c>
      <c r="H20" s="12">
        <v>1</v>
      </c>
      <c r="I20" s="12">
        <v>1</v>
      </c>
      <c r="J20" s="12"/>
      <c r="K20" s="12">
        <v>2</v>
      </c>
      <c r="L20" s="12">
        <v>110</v>
      </c>
      <c r="M20" s="12">
        <f>IF(K20=2,1,0)</f>
        <v>1</v>
      </c>
      <c r="N20" s="12">
        <v>7</v>
      </c>
      <c r="O20" s="12">
        <v>4</v>
      </c>
      <c r="P20" s="12">
        <v>7</v>
      </c>
      <c r="Q20" s="12">
        <v>5</v>
      </c>
      <c r="R20" s="12">
        <v>4</v>
      </c>
      <c r="S20" s="12">
        <f>IF(R20=4,1,0)</f>
        <v>1</v>
      </c>
      <c r="T20" s="12">
        <v>63</v>
      </c>
      <c r="U20" s="12">
        <v>0.06</v>
      </c>
      <c r="V20" s="12">
        <v>1</v>
      </c>
      <c r="W20" s="12">
        <v>23</v>
      </c>
      <c r="X20" s="12">
        <v>2000</v>
      </c>
      <c r="Y20" s="12">
        <f>IF(X20=2000,1,0)</f>
        <v>1</v>
      </c>
      <c r="Z20" s="12">
        <v>16</v>
      </c>
      <c r="AA20" s="12">
        <v>2480</v>
      </c>
      <c r="AB20" s="12">
        <f>IF(AA20=2524.95,1,0)</f>
        <v>0</v>
      </c>
      <c r="AC20" s="12">
        <v>66</v>
      </c>
      <c r="AD20" s="12">
        <v>589.62</v>
      </c>
      <c r="AE20" s="12">
        <f>IF(AD20=1980.23,1,0)</f>
        <v>0</v>
      </c>
      <c r="AF20" s="12">
        <v>150</v>
      </c>
      <c r="AG20" s="12">
        <v>0</v>
      </c>
      <c r="AH20" s="12">
        <f>IF(AG20=1,1,0)</f>
        <v>0</v>
      </c>
      <c r="AI20" s="12">
        <v>8</v>
      </c>
      <c r="AJ20" s="12">
        <v>0</v>
      </c>
      <c r="AK20" s="12">
        <f>IF(AJ20=0,1,0)</f>
        <v>1</v>
      </c>
      <c r="AL20" s="12">
        <v>20</v>
      </c>
      <c r="AM20" s="12">
        <v>0</v>
      </c>
      <c r="AN20" s="12">
        <f>IF(AM20=0,1,0)</f>
        <v>1</v>
      </c>
      <c r="AO20" s="12">
        <v>29</v>
      </c>
      <c r="AP20" s="12">
        <v>2</v>
      </c>
      <c r="AQ20" s="12">
        <f>IF(AP20=0,1,0)</f>
        <v>0</v>
      </c>
      <c r="AR20" s="12">
        <v>60</v>
      </c>
      <c r="AS20" s="12">
        <v>0</v>
      </c>
      <c r="AT20" s="12">
        <f>IF(AS20=2,1,0)</f>
        <v>0</v>
      </c>
      <c r="AU20" s="12">
        <v>34</v>
      </c>
      <c r="AV20" s="12">
        <v>1</v>
      </c>
      <c r="AW20" s="12">
        <f>IF(AV20=1,1,0)</f>
        <v>1</v>
      </c>
      <c r="AX20" s="12">
        <v>9</v>
      </c>
      <c r="AY20" s="12">
        <v>3</v>
      </c>
      <c r="AZ20" s="12">
        <f>IF(AY20=3,1,0)</f>
        <v>1</v>
      </c>
      <c r="BA20" s="12">
        <v>21</v>
      </c>
      <c r="BB20" s="12">
        <v>2</v>
      </c>
      <c r="BC20" s="12">
        <f>IF(BB20=2,1,0)</f>
        <v>1</v>
      </c>
      <c r="BD20" s="12">
        <v>123</v>
      </c>
      <c r="BE20" s="12">
        <f>L20-BD20</f>
        <v>-13</v>
      </c>
      <c r="BF20" s="12"/>
      <c r="BG20" s="12">
        <v>2</v>
      </c>
      <c r="BH20" s="12">
        <f>IF(BG20=2,1,0)</f>
        <v>1</v>
      </c>
      <c r="BI20" s="12">
        <v>286</v>
      </c>
      <c r="BJ20" s="12">
        <f>S20+V20+Y20+AB20+AE20+AH20+AK20+AN20+AQ20+AT20+AW20+AZ20+BC20+BH20</f>
        <v>9</v>
      </c>
      <c r="BK20" s="12">
        <f>T20+W20+Z20+AC20+AF20+AI20+AL20+AL20+AO20+AR20+AU20+AX20+BD20+BI20</f>
        <v>907</v>
      </c>
      <c r="BL20" s="12">
        <v>3</v>
      </c>
      <c r="BM20" s="12">
        <v>3</v>
      </c>
      <c r="BN20" s="12">
        <v>2</v>
      </c>
      <c r="BO20" s="12">
        <v>4</v>
      </c>
      <c r="BP20" s="12">
        <v>4</v>
      </c>
      <c r="BQ20" s="12">
        <v>4</v>
      </c>
      <c r="BR20" s="12">
        <v>4</v>
      </c>
      <c r="BS20" s="12">
        <v>4</v>
      </c>
      <c r="BT20" s="12">
        <v>4</v>
      </c>
      <c r="BU20" s="12">
        <v>3</v>
      </c>
      <c r="BV20" s="12">
        <v>4</v>
      </c>
      <c r="BW20" s="12">
        <v>4</v>
      </c>
      <c r="BX20" s="12">
        <v>4</v>
      </c>
      <c r="BY20" s="12">
        <v>1</v>
      </c>
      <c r="BZ20" s="12">
        <v>3</v>
      </c>
      <c r="CA20" s="12">
        <v>4</v>
      </c>
      <c r="CB20" s="12">
        <v>3</v>
      </c>
      <c r="CC20" s="12">
        <v>1</v>
      </c>
      <c r="CD20" s="12">
        <v>4</v>
      </c>
      <c r="CE20" s="12">
        <v>0</v>
      </c>
      <c r="CF20" s="12">
        <v>0</v>
      </c>
      <c r="CG20" s="12">
        <v>1</v>
      </c>
      <c r="CH20" s="12">
        <v>3</v>
      </c>
      <c r="CI20" s="12">
        <v>3</v>
      </c>
      <c r="CJ20" s="12">
        <v>0</v>
      </c>
      <c r="CK20" s="12">
        <v>4</v>
      </c>
      <c r="CL20" s="12">
        <v>4</v>
      </c>
      <c r="CM20" s="12">
        <v>3</v>
      </c>
      <c r="CN20" s="12">
        <v>2</v>
      </c>
      <c r="CO20" s="12">
        <v>2</v>
      </c>
    </row>
    <row r="21" spans="1:93" x14ac:dyDescent="0.25">
      <c r="A21" s="22" t="s">
        <v>424</v>
      </c>
      <c r="B21" s="22">
        <v>0</v>
      </c>
      <c r="C21" s="12">
        <v>29</v>
      </c>
      <c r="D21" s="12">
        <v>0</v>
      </c>
      <c r="E21" s="12">
        <v>1</v>
      </c>
      <c r="F21" s="12">
        <v>1</v>
      </c>
      <c r="G21" s="12">
        <v>3</v>
      </c>
      <c r="H21" s="12">
        <v>1</v>
      </c>
      <c r="I21" s="12">
        <v>0</v>
      </c>
      <c r="J21" s="12">
        <v>0</v>
      </c>
      <c r="K21" s="12">
        <v>0</v>
      </c>
      <c r="L21" s="12">
        <v>11</v>
      </c>
      <c r="M21" s="12">
        <f>IF(K21=2,1,0)</f>
        <v>0</v>
      </c>
      <c r="N21" s="12">
        <v>4</v>
      </c>
      <c r="O21" s="12">
        <v>6</v>
      </c>
      <c r="P21" s="12">
        <v>4</v>
      </c>
      <c r="Q21" s="12">
        <v>9</v>
      </c>
      <c r="R21" s="12">
        <v>3</v>
      </c>
      <c r="S21" s="12">
        <f>IF(R21=4,1,0)</f>
        <v>0</v>
      </c>
      <c r="T21" s="12">
        <v>25</v>
      </c>
      <c r="U21" s="12">
        <v>12</v>
      </c>
      <c r="V21" s="12">
        <v>1</v>
      </c>
      <c r="W21" s="12">
        <v>20</v>
      </c>
      <c r="X21" s="12">
        <v>1000</v>
      </c>
      <c r="Y21" s="12">
        <f>IF(X21=2000,1,0)</f>
        <v>0</v>
      </c>
      <c r="Z21" s="12">
        <v>19</v>
      </c>
      <c r="AA21" s="12">
        <v>2200</v>
      </c>
      <c r="AB21" s="12">
        <f>IF(AA21=2524.95,1,0)</f>
        <v>0</v>
      </c>
      <c r="AC21" s="12">
        <v>40</v>
      </c>
      <c r="AD21" s="12">
        <v>700</v>
      </c>
      <c r="AE21" s="12">
        <f>IF(AD21=1980.23,1,0)</f>
        <v>0</v>
      </c>
      <c r="AF21" s="12">
        <v>24</v>
      </c>
      <c r="AG21" s="12">
        <v>0</v>
      </c>
      <c r="AH21" s="12">
        <f>IF(AG21=1,1,0)</f>
        <v>0</v>
      </c>
      <c r="AI21" s="12">
        <v>7</v>
      </c>
      <c r="AJ21" s="12">
        <v>2</v>
      </c>
      <c r="AK21" s="12">
        <f>IF(AJ21=0,1,0)</f>
        <v>0</v>
      </c>
      <c r="AL21" s="12">
        <v>19</v>
      </c>
      <c r="AM21" s="12">
        <v>0</v>
      </c>
      <c r="AN21" s="12">
        <f>IF(AM21=0,1,0)</f>
        <v>1</v>
      </c>
      <c r="AO21" s="12">
        <v>22</v>
      </c>
      <c r="AP21" s="12">
        <v>2</v>
      </c>
      <c r="AQ21" s="12">
        <f>IF(AP21=0,1,0)</f>
        <v>0</v>
      </c>
      <c r="AR21" s="12">
        <v>20</v>
      </c>
      <c r="AS21" s="12">
        <v>1</v>
      </c>
      <c r="AT21" s="12">
        <f>IF(AS21=2,1,0)</f>
        <v>0</v>
      </c>
      <c r="AU21" s="12">
        <v>23</v>
      </c>
      <c r="AV21" s="12">
        <v>0</v>
      </c>
      <c r="AW21" s="12">
        <f>IF(AV21=1,1,0)</f>
        <v>0</v>
      </c>
      <c r="AX21" s="12">
        <v>13</v>
      </c>
      <c r="AY21" s="12">
        <v>1</v>
      </c>
      <c r="AZ21" s="12">
        <f>IF(AY21=3,1,0)</f>
        <v>0</v>
      </c>
      <c r="BA21" s="12">
        <v>48</v>
      </c>
      <c r="BB21" s="12">
        <v>0</v>
      </c>
      <c r="BC21" s="12">
        <f>IF(BB21=2,1,0)</f>
        <v>0</v>
      </c>
      <c r="BD21" s="12">
        <v>76</v>
      </c>
      <c r="BE21" s="12">
        <f>L21-BD21</f>
        <v>-65</v>
      </c>
      <c r="BG21" s="12">
        <v>3</v>
      </c>
      <c r="BH21" s="12">
        <f>IF(BG21=2,1,0)</f>
        <v>0</v>
      </c>
      <c r="BI21" s="12">
        <v>20</v>
      </c>
      <c r="BJ21" s="12">
        <f>S21+V21+Y21+AB21+AE21+AH21+AK21+AN21+AQ21+AT21+AW21+AZ21+BC21+BH21</f>
        <v>2</v>
      </c>
      <c r="BK21" s="12">
        <f>T21+W21+Z21+AC21+AF21+AI21+AL21+AL21+AO21+AR21+AU21+AX21+BD21+BI21</f>
        <v>347</v>
      </c>
      <c r="BL21" s="12">
        <v>4</v>
      </c>
      <c r="BM21" s="12">
        <v>1</v>
      </c>
      <c r="BN21" s="12">
        <v>2</v>
      </c>
      <c r="BO21" s="12">
        <v>3</v>
      </c>
      <c r="BP21" s="12">
        <v>2</v>
      </c>
      <c r="BQ21" s="12">
        <v>4</v>
      </c>
      <c r="BR21" s="12">
        <v>4</v>
      </c>
      <c r="BS21" s="12">
        <v>4</v>
      </c>
      <c r="BT21" s="12">
        <v>4</v>
      </c>
      <c r="BU21" s="12">
        <v>4</v>
      </c>
      <c r="BV21" s="12">
        <v>4</v>
      </c>
      <c r="BW21" s="12">
        <v>4</v>
      </c>
      <c r="BX21" s="12">
        <v>2</v>
      </c>
      <c r="BY21" s="12">
        <v>2</v>
      </c>
      <c r="BZ21" s="12">
        <v>3</v>
      </c>
      <c r="CA21" s="12">
        <v>3</v>
      </c>
      <c r="CB21" s="12">
        <v>3</v>
      </c>
      <c r="CC21" s="12">
        <v>1</v>
      </c>
      <c r="CD21" s="12">
        <v>1</v>
      </c>
      <c r="CE21" s="12">
        <v>3</v>
      </c>
      <c r="CF21" s="12">
        <v>3</v>
      </c>
      <c r="CG21" s="12">
        <v>3</v>
      </c>
      <c r="CH21" s="12">
        <v>3</v>
      </c>
      <c r="CI21" s="12">
        <v>2</v>
      </c>
      <c r="CJ21" s="12">
        <v>1</v>
      </c>
      <c r="CK21" s="12">
        <v>2</v>
      </c>
      <c r="CL21" s="12">
        <v>2</v>
      </c>
      <c r="CM21" s="12">
        <v>3</v>
      </c>
      <c r="CN21" s="12">
        <v>3</v>
      </c>
      <c r="CO21" s="12">
        <v>3</v>
      </c>
    </row>
    <row r="22" spans="1:93" x14ac:dyDescent="0.25">
      <c r="A22" s="37" t="s">
        <v>454</v>
      </c>
      <c r="B22" s="37">
        <v>0</v>
      </c>
      <c r="C22" s="38">
        <v>48</v>
      </c>
      <c r="D22" s="38">
        <v>1</v>
      </c>
      <c r="E22" s="38">
        <v>0</v>
      </c>
      <c r="F22" s="38">
        <v>1</v>
      </c>
      <c r="G22" s="38">
        <v>3</v>
      </c>
      <c r="H22" s="38">
        <v>0</v>
      </c>
      <c r="I22" s="38">
        <v>1</v>
      </c>
      <c r="J22" s="38"/>
      <c r="K22" s="38">
        <v>2</v>
      </c>
      <c r="L22" s="38">
        <v>115</v>
      </c>
      <c r="M22" s="35">
        <f>IF(K22=2,1,0)</f>
        <v>1</v>
      </c>
      <c r="N22" s="35">
        <v>7</v>
      </c>
      <c r="O22" s="35">
        <v>8</v>
      </c>
      <c r="P22" s="35">
        <v>11</v>
      </c>
      <c r="Q22" s="35">
        <v>6</v>
      </c>
      <c r="R22" s="38">
        <v>4</v>
      </c>
      <c r="S22" s="35">
        <f>IF(R22=4,1,0)</f>
        <v>1</v>
      </c>
      <c r="T22" s="38">
        <v>70</v>
      </c>
      <c r="U22" s="38">
        <v>6</v>
      </c>
      <c r="V22" s="35">
        <v>1</v>
      </c>
      <c r="W22" s="38">
        <v>24</v>
      </c>
      <c r="X22" s="38">
        <v>2000</v>
      </c>
      <c r="Y22" s="35">
        <f>IF(X22=2000,1,0)</f>
        <v>1</v>
      </c>
      <c r="Z22" s="38">
        <v>16</v>
      </c>
      <c r="AA22" s="38">
        <v>2524.9499999999998</v>
      </c>
      <c r="AB22" s="35">
        <f>IF(AA22=2524.95,1,0)</f>
        <v>1</v>
      </c>
      <c r="AC22" s="38">
        <v>66</v>
      </c>
      <c r="AD22" s="38">
        <v>1980.23</v>
      </c>
      <c r="AE22" s="35">
        <f>IF(AD22=1980.23,1,0)</f>
        <v>1</v>
      </c>
      <c r="AF22" s="38">
        <v>79</v>
      </c>
      <c r="AG22" s="38">
        <v>1</v>
      </c>
      <c r="AH22" s="35">
        <f>IF(AG22=1,1,0)</f>
        <v>1</v>
      </c>
      <c r="AI22" s="38">
        <v>100</v>
      </c>
      <c r="AJ22" s="38">
        <v>0</v>
      </c>
      <c r="AK22" s="35">
        <f>IF(AJ22=0,1,0)</f>
        <v>1</v>
      </c>
      <c r="AL22" s="38">
        <v>16</v>
      </c>
      <c r="AM22" s="38">
        <v>3</v>
      </c>
      <c r="AN22" s="35">
        <f>IF(AM22=0,1,0)</f>
        <v>0</v>
      </c>
      <c r="AO22" s="38">
        <v>23</v>
      </c>
      <c r="AP22" s="38">
        <v>0</v>
      </c>
      <c r="AQ22" s="35">
        <f>IF(AP22=0,1,0)</f>
        <v>1</v>
      </c>
      <c r="AR22" s="38">
        <v>23</v>
      </c>
      <c r="AS22" s="38">
        <v>3</v>
      </c>
      <c r="AT22" s="35">
        <f>IF(AS22=2,1,0)</f>
        <v>0</v>
      </c>
      <c r="AU22" s="38">
        <v>24</v>
      </c>
      <c r="AV22" s="38">
        <v>1</v>
      </c>
      <c r="AW22" s="35">
        <f>IF(AV22=1,1,0)</f>
        <v>1</v>
      </c>
      <c r="AX22" s="38">
        <v>10</v>
      </c>
      <c r="AY22" s="38">
        <v>3</v>
      </c>
      <c r="AZ22" s="35">
        <f>IF(AY22=3,1,0)</f>
        <v>1</v>
      </c>
      <c r="BA22" s="38">
        <v>15</v>
      </c>
      <c r="BB22" s="38">
        <v>2</v>
      </c>
      <c r="BC22" s="35">
        <f>IF(BB22=2,1,0)</f>
        <v>1</v>
      </c>
      <c r="BD22" s="38">
        <v>13</v>
      </c>
      <c r="BE22" s="35">
        <f>L22-BD22</f>
        <v>102</v>
      </c>
      <c r="BF22" s="38"/>
      <c r="BG22" s="38">
        <v>2</v>
      </c>
      <c r="BH22" s="35">
        <f>IF(BG22=2,1,0)</f>
        <v>1</v>
      </c>
      <c r="BI22" s="38">
        <v>353</v>
      </c>
      <c r="BJ22" s="35">
        <f>S22+V22+Y22+AB22+AE22+AH22+AK22+AN22+AQ22+AT22+AW22+AZ22+BC22+BH22</f>
        <v>12</v>
      </c>
      <c r="BK22" s="35">
        <f>T22+W22+Z22+AC22+AF22+AI22+AL22+AL22+AO22+AR22+AU22+AX22+BD22+BI22</f>
        <v>833</v>
      </c>
      <c r="BL22" s="38">
        <v>4</v>
      </c>
      <c r="BM22" s="38">
        <v>2</v>
      </c>
      <c r="BN22" s="38">
        <v>1</v>
      </c>
      <c r="BO22" s="38">
        <v>1</v>
      </c>
      <c r="BP22" s="38">
        <v>3</v>
      </c>
      <c r="BQ22" s="38">
        <v>4</v>
      </c>
      <c r="BR22" s="38">
        <v>4</v>
      </c>
      <c r="BS22" s="38">
        <v>2</v>
      </c>
      <c r="BT22" s="38">
        <v>2</v>
      </c>
      <c r="BU22" s="38">
        <v>1</v>
      </c>
      <c r="BV22" s="38">
        <v>1</v>
      </c>
      <c r="BW22" s="38">
        <v>1</v>
      </c>
      <c r="BX22" s="38">
        <v>4</v>
      </c>
      <c r="BY22" s="38">
        <v>2</v>
      </c>
      <c r="BZ22" s="38">
        <v>1</v>
      </c>
      <c r="CA22" s="38">
        <v>3</v>
      </c>
      <c r="CB22" s="38">
        <v>3</v>
      </c>
      <c r="CC22" s="38">
        <v>1</v>
      </c>
      <c r="CD22" s="38">
        <v>3</v>
      </c>
      <c r="CE22" s="38">
        <v>1</v>
      </c>
      <c r="CF22" s="38">
        <v>1</v>
      </c>
      <c r="CG22" s="38">
        <v>0</v>
      </c>
      <c r="CH22" s="38">
        <v>0</v>
      </c>
      <c r="CI22" s="38">
        <v>1</v>
      </c>
      <c r="CJ22" s="38">
        <v>0</v>
      </c>
      <c r="CK22" s="38">
        <v>3</v>
      </c>
      <c r="CL22" s="38">
        <v>3</v>
      </c>
      <c r="CM22" s="38">
        <v>3</v>
      </c>
      <c r="CN22" s="38">
        <v>3</v>
      </c>
      <c r="CO22" s="38">
        <v>2</v>
      </c>
    </row>
    <row r="23" spans="1:93" x14ac:dyDescent="0.25">
      <c r="A23" s="22" t="s">
        <v>115</v>
      </c>
      <c r="B23" s="22">
        <v>0</v>
      </c>
      <c r="C23" s="12">
        <v>32</v>
      </c>
      <c r="D23" s="12">
        <v>1</v>
      </c>
      <c r="E23" s="12">
        <v>0</v>
      </c>
      <c r="F23" s="12">
        <v>0</v>
      </c>
      <c r="G23" s="12">
        <v>1</v>
      </c>
      <c r="H23" s="12">
        <v>1</v>
      </c>
      <c r="I23" s="12">
        <v>0</v>
      </c>
      <c r="J23" s="12">
        <v>1</v>
      </c>
      <c r="K23" s="12">
        <v>2</v>
      </c>
      <c r="L23" s="12">
        <v>36</v>
      </c>
      <c r="M23" s="12">
        <f>IF(K23=2,1,0)</f>
        <v>1</v>
      </c>
      <c r="N23" s="12">
        <v>3</v>
      </c>
      <c r="O23" s="12">
        <v>11</v>
      </c>
      <c r="P23" s="12">
        <v>10</v>
      </c>
      <c r="Q23" s="12">
        <v>9</v>
      </c>
      <c r="R23" s="12">
        <v>4</v>
      </c>
      <c r="S23" s="12">
        <f>IF(R23=4,1,0)</f>
        <v>1</v>
      </c>
      <c r="T23" s="12">
        <v>59</v>
      </c>
      <c r="U23" s="12">
        <v>6</v>
      </c>
      <c r="V23" s="12">
        <f>IF(U23=6,1,0)</f>
        <v>1</v>
      </c>
      <c r="W23" s="12">
        <v>9</v>
      </c>
      <c r="X23" s="12">
        <v>2000</v>
      </c>
      <c r="Y23" s="12">
        <f>IF(X23=2000,1,0)</f>
        <v>1</v>
      </c>
      <c r="Z23" s="12">
        <v>8</v>
      </c>
      <c r="AA23" s="12">
        <v>2524.9499999999998</v>
      </c>
      <c r="AB23" s="12">
        <f>IF(AA23=2524.95,1,0)</f>
        <v>1</v>
      </c>
      <c r="AC23" s="12">
        <v>17</v>
      </c>
      <c r="AD23" s="12">
        <v>1980.23</v>
      </c>
      <c r="AE23" s="12">
        <f>IF(AD23=1980.23,1,0)</f>
        <v>1</v>
      </c>
      <c r="AF23" s="12">
        <v>32</v>
      </c>
      <c r="AG23" s="12">
        <v>1</v>
      </c>
      <c r="AH23" s="12">
        <f>IF(AG23=1,1,0)</f>
        <v>1</v>
      </c>
      <c r="AI23" s="12">
        <v>12</v>
      </c>
      <c r="AJ23" s="12">
        <v>0</v>
      </c>
      <c r="AK23" s="12">
        <f>IF(AJ23=0,1,0)</f>
        <v>1</v>
      </c>
      <c r="AL23" s="12">
        <v>13</v>
      </c>
      <c r="AM23" s="12">
        <v>0</v>
      </c>
      <c r="AN23" s="12">
        <f>IF(AM23=0,1,0)</f>
        <v>1</v>
      </c>
      <c r="AO23" s="12">
        <v>11</v>
      </c>
      <c r="AP23" s="12">
        <v>0</v>
      </c>
      <c r="AQ23" s="12">
        <f>IF(AP23=0,1,0)</f>
        <v>1</v>
      </c>
      <c r="AR23" s="12">
        <v>13</v>
      </c>
      <c r="AS23" s="12">
        <v>2</v>
      </c>
      <c r="AT23" s="12">
        <f>IF(AS23=2,1,0)</f>
        <v>1</v>
      </c>
      <c r="AU23" s="12">
        <v>9</v>
      </c>
      <c r="AV23" s="12">
        <v>1</v>
      </c>
      <c r="AW23" s="12">
        <f>IF(AV23=1,1,0)</f>
        <v>1</v>
      </c>
      <c r="AX23" s="12">
        <v>4</v>
      </c>
      <c r="AY23" s="12">
        <v>0</v>
      </c>
      <c r="AZ23" s="12">
        <f>IF(AY23=3,1,0)</f>
        <v>0</v>
      </c>
      <c r="BA23" s="12">
        <v>37</v>
      </c>
      <c r="BB23" s="12">
        <v>2</v>
      </c>
      <c r="BC23" s="12">
        <f>IF(BB23=2,1,0)</f>
        <v>1</v>
      </c>
      <c r="BD23" s="12">
        <v>22</v>
      </c>
      <c r="BE23" s="12">
        <f>L23-BD23</f>
        <v>14</v>
      </c>
      <c r="BF23" s="12"/>
      <c r="BG23" s="12">
        <v>3</v>
      </c>
      <c r="BH23" s="12">
        <f>IF(BG23=2,1,0)</f>
        <v>0</v>
      </c>
      <c r="BI23" s="12">
        <v>127</v>
      </c>
      <c r="BJ23" s="12">
        <f>S23+V23+Y23+AB23+AE23+AH23+AK23+AN23+AQ23+AT23+AW23+AZ23+BC23+BH23</f>
        <v>12</v>
      </c>
      <c r="BK23" s="12">
        <f>T23+W23+Z23+AC23+AF23+AI23+AL23+AL23+AO23+AR23+AU23+AX23+BD23+BI23</f>
        <v>349</v>
      </c>
      <c r="BL23" s="12">
        <v>4</v>
      </c>
      <c r="BM23" s="12">
        <v>1</v>
      </c>
      <c r="BN23" s="12">
        <v>1</v>
      </c>
      <c r="BO23" s="12">
        <v>3</v>
      </c>
      <c r="BP23" s="12">
        <v>3</v>
      </c>
      <c r="BQ23" s="12">
        <v>4</v>
      </c>
      <c r="BR23" s="12">
        <v>4</v>
      </c>
      <c r="BS23" s="12">
        <v>3</v>
      </c>
      <c r="BT23" s="12">
        <v>3</v>
      </c>
      <c r="BU23" s="12">
        <v>4</v>
      </c>
      <c r="BV23" s="12">
        <v>4</v>
      </c>
      <c r="BW23" s="12">
        <v>4</v>
      </c>
      <c r="BX23" s="12">
        <v>4</v>
      </c>
      <c r="BY23" s="12">
        <v>4</v>
      </c>
      <c r="BZ23" s="12">
        <v>3</v>
      </c>
      <c r="CA23" s="12">
        <v>3</v>
      </c>
      <c r="CB23" s="12">
        <v>3</v>
      </c>
      <c r="CC23" s="12">
        <v>2</v>
      </c>
      <c r="CD23" s="12">
        <v>3</v>
      </c>
      <c r="CE23" s="12">
        <v>1</v>
      </c>
      <c r="CF23" s="12">
        <v>1</v>
      </c>
      <c r="CG23" s="12">
        <v>1</v>
      </c>
      <c r="CH23" s="12">
        <v>1</v>
      </c>
      <c r="CI23" s="12">
        <v>1</v>
      </c>
      <c r="CJ23" s="12">
        <v>0</v>
      </c>
      <c r="CK23" s="12">
        <v>1</v>
      </c>
      <c r="CL23" s="12">
        <v>4</v>
      </c>
      <c r="CM23" s="12">
        <v>4</v>
      </c>
      <c r="CN23" s="12">
        <v>4</v>
      </c>
      <c r="CO23" s="12">
        <v>2</v>
      </c>
    </row>
    <row r="24" spans="1:93" x14ac:dyDescent="0.25">
      <c r="A24" s="22" t="s">
        <v>116</v>
      </c>
      <c r="B24" s="22">
        <v>0</v>
      </c>
      <c r="C24" s="12">
        <v>49</v>
      </c>
      <c r="D24" s="12">
        <v>0</v>
      </c>
      <c r="E24" s="12">
        <v>1</v>
      </c>
      <c r="F24" s="12">
        <v>1</v>
      </c>
      <c r="G24" s="12">
        <v>2</v>
      </c>
      <c r="H24" s="12">
        <v>1</v>
      </c>
      <c r="I24" s="12">
        <v>1</v>
      </c>
      <c r="J24" s="12"/>
      <c r="K24" s="12">
        <v>2</v>
      </c>
      <c r="L24" s="12">
        <v>673</v>
      </c>
      <c r="M24" s="12">
        <f>IF(K24=2,1,0)</f>
        <v>1</v>
      </c>
      <c r="N24" s="12">
        <v>8</v>
      </c>
      <c r="O24" s="12">
        <v>6</v>
      </c>
      <c r="P24" s="12">
        <v>8</v>
      </c>
      <c r="Q24" s="12">
        <v>6</v>
      </c>
      <c r="R24" s="12">
        <v>632.19000000000005</v>
      </c>
      <c r="S24" s="12">
        <f>IF(R24=4,1,0)</f>
        <v>0</v>
      </c>
      <c r="T24" s="12">
        <v>503</v>
      </c>
      <c r="U24" s="12">
        <v>6</v>
      </c>
      <c r="V24" s="12">
        <f>IF(U24=6,1,0)</f>
        <v>1</v>
      </c>
      <c r="W24" s="12">
        <v>23</v>
      </c>
      <c r="X24" s="12">
        <v>2000</v>
      </c>
      <c r="Y24" s="12">
        <f>IF(X24=2000,1,0)</f>
        <v>1</v>
      </c>
      <c r="Z24" s="12">
        <v>15</v>
      </c>
      <c r="AA24" s="12">
        <v>2500</v>
      </c>
      <c r="AB24" s="12">
        <f>IF(AA24=2524.95,1,0)</f>
        <v>0</v>
      </c>
      <c r="AC24" s="12">
        <v>9</v>
      </c>
      <c r="AD24" s="12">
        <v>625</v>
      </c>
      <c r="AE24" s="12">
        <f>IF(AD24=1980.23,1,0)</f>
        <v>0</v>
      </c>
      <c r="AF24" s="12">
        <v>39</v>
      </c>
      <c r="AG24" s="12">
        <v>0</v>
      </c>
      <c r="AH24" s="12">
        <f>IF(AG24=1,1,0)</f>
        <v>0</v>
      </c>
      <c r="AI24" s="12">
        <v>24</v>
      </c>
      <c r="AJ24" s="12">
        <v>0</v>
      </c>
      <c r="AK24" s="12">
        <f>IF(AJ24=0,1,0)</f>
        <v>1</v>
      </c>
      <c r="AL24" s="12">
        <v>63</v>
      </c>
      <c r="AM24" s="12">
        <v>1</v>
      </c>
      <c r="AN24" s="12">
        <f>IF(AM24=0,1,0)</f>
        <v>0</v>
      </c>
      <c r="AO24" s="12">
        <v>34</v>
      </c>
      <c r="AP24" s="12">
        <v>2</v>
      </c>
      <c r="AQ24" s="12">
        <f>IF(AP24=0,1,0)</f>
        <v>0</v>
      </c>
      <c r="AR24" s="12">
        <v>30</v>
      </c>
      <c r="AS24" s="12">
        <v>2</v>
      </c>
      <c r="AT24" s="12">
        <f>IF(AS24=2,1,0)</f>
        <v>1</v>
      </c>
      <c r="AU24" s="12">
        <v>44</v>
      </c>
      <c r="AV24" s="12">
        <v>1</v>
      </c>
      <c r="AW24" s="12">
        <f>IF(AV24=1,1,0)</f>
        <v>1</v>
      </c>
      <c r="AX24" s="12">
        <v>15</v>
      </c>
      <c r="AY24" s="12">
        <v>3</v>
      </c>
      <c r="AZ24" s="12">
        <f>IF(AY24=3,1,0)</f>
        <v>1</v>
      </c>
      <c r="BA24" s="12">
        <v>91</v>
      </c>
      <c r="BB24" s="12">
        <v>2</v>
      </c>
      <c r="BC24" s="12">
        <f>IF(BB24=2,1,0)</f>
        <v>1</v>
      </c>
      <c r="BD24" s="12">
        <v>13</v>
      </c>
      <c r="BE24" s="12">
        <f>L24-BD24</f>
        <v>660</v>
      </c>
      <c r="BF24" s="12"/>
      <c r="BG24" s="12">
        <v>0</v>
      </c>
      <c r="BH24" s="12">
        <f>IF(BG24=2,1,0)</f>
        <v>0</v>
      </c>
      <c r="BI24" s="12">
        <v>268</v>
      </c>
      <c r="BJ24" s="12">
        <f>S24+V24+Y24+AB24+AE24+AH24+AK24+AN24+AQ24+AT24+AW24+AZ24+BC24+BH24</f>
        <v>7</v>
      </c>
      <c r="BK24" s="12">
        <f>T24+W24+Z24+AC24+AF24+AI24+AL24+AL24+AO24+AR24+AU24+AX24+BD24+BI24</f>
        <v>1143</v>
      </c>
      <c r="BL24" s="12">
        <v>4</v>
      </c>
      <c r="BM24" s="12">
        <v>4</v>
      </c>
      <c r="BN24" s="12">
        <v>4</v>
      </c>
      <c r="BO24" s="12">
        <v>4</v>
      </c>
      <c r="BP24" s="12">
        <v>4</v>
      </c>
      <c r="BQ24" s="12">
        <v>4</v>
      </c>
      <c r="BR24" s="12">
        <v>4</v>
      </c>
      <c r="BS24" s="12">
        <v>4</v>
      </c>
      <c r="BT24" s="12">
        <v>4</v>
      </c>
      <c r="BU24" s="12">
        <v>4</v>
      </c>
      <c r="BV24" s="12">
        <v>4</v>
      </c>
      <c r="BW24" s="12">
        <v>4</v>
      </c>
      <c r="BX24" s="12">
        <v>4</v>
      </c>
      <c r="BY24" s="12">
        <v>4</v>
      </c>
      <c r="BZ24" s="12">
        <v>4</v>
      </c>
      <c r="CA24" s="12">
        <v>4</v>
      </c>
      <c r="CB24" s="12">
        <v>4</v>
      </c>
      <c r="CC24" s="12">
        <v>4</v>
      </c>
      <c r="CD24" s="12">
        <v>4</v>
      </c>
      <c r="CE24" s="12">
        <v>4</v>
      </c>
      <c r="CF24" s="12">
        <v>2</v>
      </c>
      <c r="CG24" s="12">
        <v>2</v>
      </c>
      <c r="CH24" s="12">
        <v>2</v>
      </c>
      <c r="CI24" s="12">
        <v>4</v>
      </c>
      <c r="CJ24" s="12">
        <v>2</v>
      </c>
      <c r="CK24" s="12">
        <v>4</v>
      </c>
      <c r="CL24" s="12">
        <v>4</v>
      </c>
      <c r="CM24" s="12">
        <v>4</v>
      </c>
      <c r="CN24" s="12">
        <v>4</v>
      </c>
      <c r="CO24" s="12">
        <v>4</v>
      </c>
    </row>
    <row r="25" spans="1:93" x14ac:dyDescent="0.25">
      <c r="A25" s="22" t="s">
        <v>117</v>
      </c>
      <c r="B25" s="22">
        <v>0</v>
      </c>
      <c r="C25" s="12">
        <v>50</v>
      </c>
      <c r="D25" s="12">
        <v>0</v>
      </c>
      <c r="E25" s="12">
        <v>0</v>
      </c>
      <c r="F25" s="12">
        <v>0</v>
      </c>
      <c r="G25" s="12">
        <v>2</v>
      </c>
      <c r="H25" s="12">
        <v>1</v>
      </c>
      <c r="I25" s="12">
        <v>0</v>
      </c>
      <c r="J25" s="12">
        <v>0</v>
      </c>
      <c r="K25" s="12">
        <v>2</v>
      </c>
      <c r="L25" s="12">
        <v>279</v>
      </c>
      <c r="M25" s="12">
        <f>IF(K25=2,1,0)</f>
        <v>1</v>
      </c>
      <c r="N25" s="12">
        <v>3</v>
      </c>
      <c r="O25" s="12">
        <v>11</v>
      </c>
      <c r="P25" s="12">
        <v>10</v>
      </c>
      <c r="Q25" s="12">
        <v>6</v>
      </c>
      <c r="R25" s="12">
        <v>4</v>
      </c>
      <c r="S25" s="12">
        <f>IF(R25=4,1,0)</f>
        <v>1</v>
      </c>
      <c r="T25" s="12">
        <v>64</v>
      </c>
      <c r="U25" s="12">
        <v>6</v>
      </c>
      <c r="V25" s="12">
        <f>IF(U25=6,1,0)</f>
        <v>1</v>
      </c>
      <c r="W25" s="12">
        <v>9</v>
      </c>
      <c r="X25" s="12">
        <v>2000</v>
      </c>
      <c r="Y25" s="12">
        <f>IF(X25=2000,1,0)</f>
        <v>1</v>
      </c>
      <c r="Z25" s="12">
        <v>13</v>
      </c>
      <c r="AA25" s="12">
        <v>2524.9499999999998</v>
      </c>
      <c r="AB25" s="12">
        <f>IF(AA25=2524.95,1,0)</f>
        <v>1</v>
      </c>
      <c r="AC25" s="12">
        <v>117</v>
      </c>
      <c r="AD25" s="12">
        <v>1980.23</v>
      </c>
      <c r="AE25" s="12">
        <f>IF(AD25=1980.23,1,0)</f>
        <v>1</v>
      </c>
      <c r="AF25" s="12">
        <v>168</v>
      </c>
      <c r="AG25" s="12">
        <v>0</v>
      </c>
      <c r="AH25" s="12">
        <f>IF(AG25=1,1,0)</f>
        <v>0</v>
      </c>
      <c r="AI25" s="12">
        <v>42</v>
      </c>
      <c r="AJ25" s="12">
        <v>0</v>
      </c>
      <c r="AK25" s="12">
        <f>IF(AJ25=0,1,0)</f>
        <v>1</v>
      </c>
      <c r="AL25" s="12">
        <v>33</v>
      </c>
      <c r="AM25" s="12">
        <v>3</v>
      </c>
      <c r="AN25" s="12">
        <f>IF(AM25=0,1,0)</f>
        <v>0</v>
      </c>
      <c r="AO25" s="12">
        <v>37</v>
      </c>
      <c r="AP25" s="12">
        <v>2</v>
      </c>
      <c r="AQ25" s="12">
        <f>IF(AP25=0,1,0)</f>
        <v>0</v>
      </c>
      <c r="AR25" s="12">
        <v>63</v>
      </c>
      <c r="AS25" s="12">
        <v>2</v>
      </c>
      <c r="AT25" s="12">
        <f>IF(AS25=2,1,0)</f>
        <v>1</v>
      </c>
      <c r="AU25" s="12">
        <v>30</v>
      </c>
      <c r="AV25" s="12">
        <v>1</v>
      </c>
      <c r="AW25" s="12">
        <f>IF(AV25=1,1,0)</f>
        <v>1</v>
      </c>
      <c r="AX25" s="12">
        <v>7</v>
      </c>
      <c r="AY25" s="12">
        <v>3</v>
      </c>
      <c r="AZ25" s="12">
        <f>IF(AY25=3,1,0)</f>
        <v>1</v>
      </c>
      <c r="BA25" s="12">
        <v>36</v>
      </c>
      <c r="BB25" s="12">
        <v>2</v>
      </c>
      <c r="BC25" s="12">
        <f>IF(BB25=2,1,0)</f>
        <v>1</v>
      </c>
      <c r="BD25" s="12">
        <v>58</v>
      </c>
      <c r="BE25" s="12">
        <f>L25-BD25</f>
        <v>221</v>
      </c>
      <c r="BF25" s="12"/>
      <c r="BG25" s="12">
        <v>2</v>
      </c>
      <c r="BH25" s="12">
        <f>IF(BG25=2,1,0)</f>
        <v>1</v>
      </c>
      <c r="BI25" s="12">
        <v>314</v>
      </c>
      <c r="BJ25" s="12">
        <f>S25+V25+Y25+AB25+AE25+AH25+AK25+AN25+AQ25+AT25+AW25+AZ25+BC25+BH25</f>
        <v>11</v>
      </c>
      <c r="BK25" s="12">
        <f>T25+W25+Z25+AC25+AF25+AI25+AL25+AL25+AO25+AR25+AU25+AX25+BD25+BI25</f>
        <v>988</v>
      </c>
      <c r="BL25" s="12">
        <v>0</v>
      </c>
      <c r="BM25" s="12">
        <v>3</v>
      </c>
      <c r="BN25" s="12">
        <v>3</v>
      </c>
      <c r="BO25" s="12">
        <v>3</v>
      </c>
      <c r="BP25" s="12">
        <v>4</v>
      </c>
      <c r="BQ25" s="12">
        <v>4</v>
      </c>
      <c r="BR25" s="12">
        <v>3</v>
      </c>
      <c r="BS25" s="12">
        <v>4</v>
      </c>
      <c r="BT25" s="12">
        <v>4</v>
      </c>
      <c r="BU25" s="12">
        <v>4</v>
      </c>
      <c r="BV25" s="12">
        <v>3</v>
      </c>
      <c r="BW25" s="12">
        <v>3</v>
      </c>
      <c r="BX25" s="12">
        <v>4</v>
      </c>
      <c r="BY25" s="12">
        <v>4</v>
      </c>
      <c r="BZ25" s="12">
        <v>4</v>
      </c>
      <c r="CA25" s="12">
        <v>4</v>
      </c>
      <c r="CB25" s="12">
        <v>4</v>
      </c>
      <c r="CC25" s="12">
        <v>4</v>
      </c>
      <c r="CD25" s="12">
        <v>4</v>
      </c>
      <c r="CE25" s="12">
        <v>4</v>
      </c>
      <c r="CF25" s="12">
        <v>4</v>
      </c>
      <c r="CG25" s="12">
        <v>2</v>
      </c>
      <c r="CH25" s="12">
        <v>1</v>
      </c>
      <c r="CI25" s="12">
        <v>2</v>
      </c>
      <c r="CJ25" s="12">
        <v>1</v>
      </c>
      <c r="CK25" s="12">
        <v>3</v>
      </c>
      <c r="CL25" s="12">
        <v>3</v>
      </c>
      <c r="CM25" s="12">
        <v>4</v>
      </c>
      <c r="CN25" s="12">
        <v>4</v>
      </c>
      <c r="CO25" s="12">
        <v>4</v>
      </c>
    </row>
    <row r="26" spans="1:93" x14ac:dyDescent="0.25">
      <c r="A26" s="22" t="s">
        <v>312</v>
      </c>
      <c r="B26" s="22">
        <v>0</v>
      </c>
      <c r="C26" s="12">
        <v>20</v>
      </c>
      <c r="D26" s="12">
        <v>0</v>
      </c>
      <c r="E26" s="12">
        <v>1</v>
      </c>
      <c r="F26" s="12">
        <v>0</v>
      </c>
      <c r="G26" s="12">
        <v>1</v>
      </c>
      <c r="H26" s="12">
        <v>1</v>
      </c>
      <c r="I26" s="12">
        <v>0</v>
      </c>
      <c r="J26" s="12">
        <v>2</v>
      </c>
      <c r="K26" s="12">
        <v>2</v>
      </c>
      <c r="L26" s="12">
        <v>53</v>
      </c>
      <c r="M26" s="12">
        <f>IF(K26=2,1,0)</f>
        <v>1</v>
      </c>
      <c r="N26" s="12">
        <v>3</v>
      </c>
      <c r="O26" s="12">
        <v>10</v>
      </c>
      <c r="P26" s="12">
        <v>8</v>
      </c>
      <c r="Q26" s="12">
        <v>9</v>
      </c>
      <c r="R26" s="12">
        <v>4</v>
      </c>
      <c r="S26" s="12">
        <f>IF(R26=4,1,0)</f>
        <v>1</v>
      </c>
      <c r="T26" s="12">
        <v>40</v>
      </c>
      <c r="U26" s="12">
        <v>6</v>
      </c>
      <c r="V26" s="12">
        <f>IF(U26=6,1,0)</f>
        <v>1</v>
      </c>
      <c r="W26" s="12">
        <v>5</v>
      </c>
      <c r="X26" s="12">
        <v>2000</v>
      </c>
      <c r="Y26" s="12">
        <f>IF(X26=2000,1,0)</f>
        <v>1</v>
      </c>
      <c r="Z26" s="12">
        <v>12</v>
      </c>
      <c r="AA26" s="12">
        <v>2524.9499999999998</v>
      </c>
      <c r="AB26" s="12">
        <f>IF(AA26=2524.95,1,0)</f>
        <v>1</v>
      </c>
      <c r="AC26" s="12">
        <v>46</v>
      </c>
      <c r="AD26" s="12">
        <v>1980.23</v>
      </c>
      <c r="AE26" s="12">
        <f>IF(AD26=1980.23,1,0)</f>
        <v>1</v>
      </c>
      <c r="AF26" s="12">
        <v>31</v>
      </c>
      <c r="AG26" s="12">
        <v>0</v>
      </c>
      <c r="AH26" s="12">
        <f>IF(AG26=1,1,0)</f>
        <v>0</v>
      </c>
      <c r="AI26" s="12">
        <v>31</v>
      </c>
      <c r="AJ26" s="12">
        <v>0</v>
      </c>
      <c r="AK26" s="12">
        <f>IF(AJ26=0,1,0)</f>
        <v>1</v>
      </c>
      <c r="AL26" s="12">
        <v>35</v>
      </c>
      <c r="AM26" s="12">
        <v>3</v>
      </c>
      <c r="AN26" s="12">
        <f>IF(AM26=0,1,0)</f>
        <v>0</v>
      </c>
      <c r="AO26" s="12">
        <v>35</v>
      </c>
      <c r="AP26" s="12">
        <v>2</v>
      </c>
      <c r="AQ26" s="12">
        <f>IF(AP26=0,1,0)</f>
        <v>0</v>
      </c>
      <c r="AR26" s="12">
        <v>13</v>
      </c>
      <c r="AS26" s="12">
        <v>2</v>
      </c>
      <c r="AT26" s="12">
        <f>IF(AS26=2,1,0)</f>
        <v>1</v>
      </c>
      <c r="AU26" s="12">
        <v>52</v>
      </c>
      <c r="AV26" s="12">
        <v>1</v>
      </c>
      <c r="AW26" s="12">
        <f>IF(AV26=1,1,0)</f>
        <v>1</v>
      </c>
      <c r="AX26" s="12">
        <v>5</v>
      </c>
      <c r="AY26" s="12">
        <v>3</v>
      </c>
      <c r="AZ26" s="12">
        <f>IF(AY26=3,1,0)</f>
        <v>1</v>
      </c>
      <c r="BA26" s="12">
        <v>57</v>
      </c>
      <c r="BB26" s="12">
        <v>2</v>
      </c>
      <c r="BC26" s="12">
        <f>IF(BB26=2,1,0)</f>
        <v>1</v>
      </c>
      <c r="BD26" s="12">
        <v>105</v>
      </c>
      <c r="BE26" s="12">
        <f>L26-BD26</f>
        <v>-52</v>
      </c>
      <c r="BF26" s="12"/>
      <c r="BG26" s="12">
        <v>2</v>
      </c>
      <c r="BH26" s="12">
        <f>IF(BG26=2,1,0)</f>
        <v>1</v>
      </c>
      <c r="BI26" s="12">
        <v>202</v>
      </c>
      <c r="BJ26" s="12">
        <f>S26+V26+Y26+AB26+AE26+AH26+AK26+AN26+AQ26+AT26+AW26+AZ26+BC26+BH26</f>
        <v>11</v>
      </c>
      <c r="BK26" s="12">
        <f>T26+W26+Z26+AC26+AF26+AI26+AL26+AL26+AO26+AR26+AU26+AX26+BD26+BI26</f>
        <v>647</v>
      </c>
      <c r="BL26" s="12">
        <v>4</v>
      </c>
      <c r="BM26" s="12">
        <v>3</v>
      </c>
      <c r="BN26" s="12">
        <v>3</v>
      </c>
      <c r="BO26" s="12">
        <v>4</v>
      </c>
      <c r="BP26" s="12">
        <v>3</v>
      </c>
      <c r="BQ26" s="12">
        <v>3</v>
      </c>
      <c r="BR26" s="12">
        <v>3</v>
      </c>
      <c r="BS26" s="12">
        <v>4</v>
      </c>
      <c r="BT26" s="12">
        <v>4</v>
      </c>
      <c r="BU26" s="12">
        <v>4</v>
      </c>
      <c r="BV26" s="12">
        <v>4</v>
      </c>
      <c r="BW26" s="12">
        <v>4</v>
      </c>
      <c r="BX26" s="12">
        <v>4</v>
      </c>
      <c r="BY26" s="12">
        <v>4</v>
      </c>
      <c r="BZ26" s="12">
        <v>3</v>
      </c>
      <c r="CA26" s="12">
        <v>4</v>
      </c>
      <c r="CB26" s="12">
        <v>3</v>
      </c>
      <c r="CC26" s="12">
        <v>4</v>
      </c>
      <c r="CD26" s="12">
        <v>4</v>
      </c>
      <c r="CE26" s="12">
        <v>2</v>
      </c>
      <c r="CF26" s="12">
        <v>2</v>
      </c>
      <c r="CG26" s="12">
        <v>2</v>
      </c>
      <c r="CH26" s="12">
        <v>2</v>
      </c>
      <c r="CI26" s="12">
        <v>3</v>
      </c>
      <c r="CJ26" s="12">
        <v>3</v>
      </c>
      <c r="CK26" s="12">
        <v>3</v>
      </c>
      <c r="CL26" s="12">
        <v>4</v>
      </c>
      <c r="CM26" s="12">
        <v>4</v>
      </c>
      <c r="CN26" s="12">
        <v>4</v>
      </c>
      <c r="CO26" s="12">
        <v>4</v>
      </c>
    </row>
    <row r="27" spans="1:93" x14ac:dyDescent="0.25">
      <c r="A27" s="22" t="s">
        <v>313</v>
      </c>
      <c r="B27" s="22">
        <v>0</v>
      </c>
      <c r="C27" s="12">
        <v>23</v>
      </c>
      <c r="D27" s="12">
        <v>1</v>
      </c>
      <c r="E27" s="12">
        <v>1</v>
      </c>
      <c r="F27" s="12">
        <v>1</v>
      </c>
      <c r="G27" s="12">
        <v>1</v>
      </c>
      <c r="H27" s="12">
        <v>1</v>
      </c>
      <c r="I27" s="12">
        <v>1</v>
      </c>
      <c r="J27" s="12"/>
      <c r="K27" s="12">
        <v>2</v>
      </c>
      <c r="L27" s="12">
        <v>190</v>
      </c>
      <c r="M27" s="12">
        <f>IF(K27=2,1,0)</f>
        <v>1</v>
      </c>
      <c r="N27" s="12">
        <v>8</v>
      </c>
      <c r="O27" s="12">
        <v>5</v>
      </c>
      <c r="P27" s="12">
        <v>5</v>
      </c>
      <c r="Q27" s="12">
        <v>7</v>
      </c>
      <c r="R27" s="12">
        <v>4</v>
      </c>
      <c r="S27" s="12">
        <f>IF(R27=4,1,0)</f>
        <v>1</v>
      </c>
      <c r="T27" s="12">
        <v>145</v>
      </c>
      <c r="U27" s="12">
        <v>6</v>
      </c>
      <c r="V27" s="12">
        <f>IF(U27=6,1,0)</f>
        <v>1</v>
      </c>
      <c r="W27" s="12">
        <v>51</v>
      </c>
      <c r="X27" s="12">
        <v>2000</v>
      </c>
      <c r="Y27" s="12">
        <f>IF(X27=2000,1,0)</f>
        <v>1</v>
      </c>
      <c r="Z27" s="12">
        <v>29</v>
      </c>
      <c r="AA27" s="12">
        <v>2524.9499999999998</v>
      </c>
      <c r="AB27" s="12">
        <f>IF(AA27=2524.95,1,0)</f>
        <v>1</v>
      </c>
      <c r="AC27" s="12">
        <v>269</v>
      </c>
      <c r="AD27" s="12">
        <v>2000</v>
      </c>
      <c r="AE27" s="12">
        <f>IF(AD27=1980.23,1,0)</f>
        <v>0</v>
      </c>
      <c r="AF27" s="12">
        <v>210</v>
      </c>
      <c r="AG27" s="12">
        <v>0</v>
      </c>
      <c r="AH27" s="12">
        <f>IF(AG27=1,1,0)</f>
        <v>0</v>
      </c>
      <c r="AI27" s="12">
        <v>6</v>
      </c>
      <c r="AJ27" s="12">
        <v>0</v>
      </c>
      <c r="AK27" s="12">
        <f>IF(AJ27=0,1,0)</f>
        <v>1</v>
      </c>
      <c r="AL27" s="12">
        <v>26</v>
      </c>
      <c r="AM27" s="12">
        <v>0</v>
      </c>
      <c r="AN27" s="12">
        <f>IF(AM27=0,1,0)</f>
        <v>1</v>
      </c>
      <c r="AO27" s="12">
        <v>32</v>
      </c>
      <c r="AP27" s="12">
        <v>0</v>
      </c>
      <c r="AQ27" s="12">
        <f>IF(AP27=0,1,0)</f>
        <v>1</v>
      </c>
      <c r="AR27" s="12">
        <v>110</v>
      </c>
      <c r="AS27" s="12">
        <v>2</v>
      </c>
      <c r="AT27" s="12">
        <f>IF(AS27=2,1,0)</f>
        <v>1</v>
      </c>
      <c r="AU27" s="12">
        <v>37</v>
      </c>
      <c r="AV27" s="12">
        <v>1</v>
      </c>
      <c r="AW27" s="12">
        <f>IF(AV27=1,1,0)</f>
        <v>1</v>
      </c>
      <c r="AX27" s="12">
        <v>12</v>
      </c>
      <c r="AY27" s="12">
        <v>0</v>
      </c>
      <c r="AZ27" s="12">
        <f>IF(AY27=3,1,0)</f>
        <v>0</v>
      </c>
      <c r="BA27" s="12">
        <v>182</v>
      </c>
      <c r="BB27" s="12">
        <v>2</v>
      </c>
      <c r="BC27" s="12">
        <f>IF(BB27=2,1,0)</f>
        <v>1</v>
      </c>
      <c r="BD27" s="12">
        <v>183</v>
      </c>
      <c r="BE27" s="12">
        <f>L27-BD27</f>
        <v>7</v>
      </c>
      <c r="BF27" s="12"/>
      <c r="BG27" s="12">
        <v>3</v>
      </c>
      <c r="BH27" s="12">
        <f>IF(BG27=2,1,0)</f>
        <v>0</v>
      </c>
      <c r="BI27" s="12">
        <v>109</v>
      </c>
      <c r="BJ27" s="12">
        <f>S27+V27+Y27+AB27+AE27+AH27+AK27+AN27+AQ27+AT27+AW27+AZ27+BC27+BH27</f>
        <v>10</v>
      </c>
      <c r="BK27" s="12">
        <f>T27+W27+Z27+AC27+AF27+AI27+AL27+AL27+AO27+AR27+AU27+AX27+BD27+BI27</f>
        <v>1245</v>
      </c>
      <c r="BL27" s="12">
        <v>4</v>
      </c>
      <c r="BM27" s="12">
        <v>3</v>
      </c>
      <c r="BN27" s="12">
        <v>4</v>
      </c>
      <c r="BO27" s="12">
        <v>4</v>
      </c>
      <c r="BP27" s="12">
        <v>4</v>
      </c>
      <c r="BQ27" s="12">
        <v>4</v>
      </c>
      <c r="BR27" s="12">
        <v>4</v>
      </c>
      <c r="BS27" s="12">
        <v>4</v>
      </c>
      <c r="BT27" s="12">
        <v>4</v>
      </c>
      <c r="BU27" s="12">
        <v>4</v>
      </c>
      <c r="BV27" s="12">
        <v>4</v>
      </c>
      <c r="BW27" s="12">
        <v>4</v>
      </c>
      <c r="BX27" s="12">
        <v>4</v>
      </c>
      <c r="BY27" s="12">
        <v>4</v>
      </c>
      <c r="BZ27" s="12">
        <v>4</v>
      </c>
      <c r="CA27" s="12">
        <v>4</v>
      </c>
      <c r="CB27" s="12">
        <v>4</v>
      </c>
      <c r="CC27" s="12">
        <v>4</v>
      </c>
      <c r="CD27" s="12">
        <v>4</v>
      </c>
      <c r="CE27" s="12">
        <v>4</v>
      </c>
      <c r="CF27" s="12">
        <v>4</v>
      </c>
      <c r="CG27" s="12">
        <v>4</v>
      </c>
      <c r="CH27" s="12">
        <v>4</v>
      </c>
      <c r="CI27" s="12">
        <v>4</v>
      </c>
      <c r="CJ27" s="12">
        <v>3</v>
      </c>
      <c r="CK27" s="12">
        <v>4</v>
      </c>
      <c r="CL27" s="12">
        <v>4</v>
      </c>
      <c r="CM27" s="12">
        <v>2</v>
      </c>
      <c r="CN27" s="12">
        <v>3</v>
      </c>
      <c r="CO27" s="12">
        <v>2</v>
      </c>
    </row>
    <row r="28" spans="1:93" x14ac:dyDescent="0.25">
      <c r="A28" s="22" t="s">
        <v>314</v>
      </c>
      <c r="B28" s="22">
        <v>0</v>
      </c>
      <c r="C28" s="12">
        <v>35</v>
      </c>
      <c r="D28" s="12">
        <v>0</v>
      </c>
      <c r="E28" s="12">
        <v>1</v>
      </c>
      <c r="F28" s="12">
        <v>0</v>
      </c>
      <c r="G28" s="12">
        <v>2</v>
      </c>
      <c r="H28" s="12">
        <v>0</v>
      </c>
      <c r="I28" s="12">
        <v>0</v>
      </c>
      <c r="J28" s="12">
        <v>1</v>
      </c>
      <c r="K28" s="12">
        <v>0</v>
      </c>
      <c r="L28" s="12">
        <v>101</v>
      </c>
      <c r="M28" s="12">
        <f>IF(K28=2,1,0)</f>
        <v>0</v>
      </c>
      <c r="N28" s="12">
        <v>7</v>
      </c>
      <c r="O28" s="12">
        <v>9</v>
      </c>
      <c r="P28" s="12">
        <v>8</v>
      </c>
      <c r="Q28" s="12">
        <v>8</v>
      </c>
      <c r="R28" s="12">
        <v>4</v>
      </c>
      <c r="S28" s="12">
        <f>IF(R28=4,1,0)</f>
        <v>1</v>
      </c>
      <c r="T28" s="12">
        <v>42</v>
      </c>
      <c r="U28" s="12">
        <v>6</v>
      </c>
      <c r="V28" s="12">
        <f>IF(U28=6,1,0)</f>
        <v>1</v>
      </c>
      <c r="W28" s="12">
        <v>10</v>
      </c>
      <c r="X28" s="12">
        <v>2000</v>
      </c>
      <c r="Y28" s="12">
        <f>IF(X28=2000,1,0)</f>
        <v>1</v>
      </c>
      <c r="Z28" s="12">
        <v>49</v>
      </c>
      <c r="AA28" s="12">
        <v>2524.9499999999998</v>
      </c>
      <c r="AB28" s="12">
        <f>IF(AA28=2524.95,1,0)</f>
        <v>1</v>
      </c>
      <c r="AC28" s="12">
        <v>290</v>
      </c>
      <c r="AD28" s="12">
        <v>1984.13</v>
      </c>
      <c r="AE28" s="12">
        <f>IF(AD28=1980.23,1,0)</f>
        <v>0</v>
      </c>
      <c r="AF28" s="12">
        <v>127</v>
      </c>
      <c r="AG28" s="12">
        <v>0</v>
      </c>
      <c r="AH28" s="12">
        <f>IF(AG28=1,1,0)</f>
        <v>0</v>
      </c>
      <c r="AI28" s="12">
        <v>49</v>
      </c>
      <c r="AJ28" s="12">
        <v>0</v>
      </c>
      <c r="AK28" s="12">
        <f>IF(AJ28=0,1,0)</f>
        <v>1</v>
      </c>
      <c r="AL28" s="12">
        <v>66</v>
      </c>
      <c r="AM28" s="12">
        <v>1</v>
      </c>
      <c r="AN28" s="12">
        <f>IF(AM28=0,1,0)</f>
        <v>0</v>
      </c>
      <c r="AO28" s="12">
        <v>48</v>
      </c>
      <c r="AP28" s="12">
        <v>0</v>
      </c>
      <c r="AQ28" s="12">
        <f>IF(AP28=0,1,0)</f>
        <v>1</v>
      </c>
      <c r="AR28" s="12">
        <v>46</v>
      </c>
      <c r="AS28" s="12">
        <v>1</v>
      </c>
      <c r="AT28" s="12">
        <f>IF(AS28=2,1,0)</f>
        <v>0</v>
      </c>
      <c r="AU28" s="12">
        <v>18</v>
      </c>
      <c r="AV28" s="12">
        <v>3</v>
      </c>
      <c r="AW28" s="12">
        <f>IF(AV28=1,1,0)</f>
        <v>0</v>
      </c>
      <c r="AX28" s="12">
        <v>31</v>
      </c>
      <c r="AY28" s="12">
        <v>1</v>
      </c>
      <c r="AZ28" s="12">
        <f>IF(AY28=3,1,0)</f>
        <v>0</v>
      </c>
      <c r="BA28" s="12">
        <v>32</v>
      </c>
      <c r="BB28" s="12">
        <v>2</v>
      </c>
      <c r="BC28" s="12">
        <f>IF(BB28=2,1,0)</f>
        <v>1</v>
      </c>
      <c r="BD28" s="12">
        <v>88</v>
      </c>
      <c r="BE28" s="12">
        <f>L28-BD28</f>
        <v>13</v>
      </c>
      <c r="BF28" s="12"/>
      <c r="BG28" s="12">
        <v>0</v>
      </c>
      <c r="BH28" s="12">
        <f>IF(BG28=2,1,0)</f>
        <v>0</v>
      </c>
      <c r="BI28" s="12">
        <v>295</v>
      </c>
      <c r="BJ28" s="12">
        <f>S28+V28+Y28+AB28+AE28+AH28+AK28+AN28+AQ28+AT28+AW28+AZ28+BC28+BH28</f>
        <v>7</v>
      </c>
      <c r="BK28" s="12">
        <f>T28+W28+Z28+AC28+AF28+AI28+AL28+AL28+AO28+AR28+AU28+AX28+BD28+BI28</f>
        <v>1225</v>
      </c>
      <c r="BL28" s="12">
        <v>3</v>
      </c>
      <c r="BM28" s="12">
        <v>3</v>
      </c>
      <c r="BN28" s="12">
        <v>3</v>
      </c>
      <c r="BO28" s="12">
        <v>2</v>
      </c>
      <c r="BP28" s="12">
        <v>3</v>
      </c>
      <c r="BQ28" s="12">
        <v>4</v>
      </c>
      <c r="BR28" s="12">
        <v>3</v>
      </c>
      <c r="BS28" s="12">
        <v>3</v>
      </c>
      <c r="BT28" s="12">
        <v>3</v>
      </c>
      <c r="BU28" s="12">
        <v>2</v>
      </c>
      <c r="BV28" s="12">
        <v>3</v>
      </c>
      <c r="BW28" s="12">
        <v>2</v>
      </c>
      <c r="BX28" s="12">
        <v>3</v>
      </c>
      <c r="BY28" s="12">
        <v>2</v>
      </c>
      <c r="BZ28" s="12">
        <v>3</v>
      </c>
      <c r="CA28" s="12">
        <v>3</v>
      </c>
      <c r="CB28" s="12">
        <v>2</v>
      </c>
      <c r="CC28" s="12">
        <v>3</v>
      </c>
      <c r="CD28" s="12">
        <v>3</v>
      </c>
      <c r="CE28" s="12">
        <v>3</v>
      </c>
      <c r="CF28" s="12">
        <v>3</v>
      </c>
      <c r="CG28" s="12">
        <v>4</v>
      </c>
      <c r="CH28" s="12">
        <v>4</v>
      </c>
      <c r="CI28" s="12">
        <v>4</v>
      </c>
      <c r="CJ28" s="12">
        <v>3</v>
      </c>
      <c r="CK28" s="12">
        <v>3</v>
      </c>
      <c r="CL28" s="12">
        <v>3</v>
      </c>
      <c r="CM28" s="12">
        <v>3</v>
      </c>
      <c r="CN28" s="12">
        <v>3</v>
      </c>
      <c r="CO28" s="12">
        <v>3</v>
      </c>
    </row>
    <row r="29" spans="1:93" x14ac:dyDescent="0.25">
      <c r="A29" s="22" t="s">
        <v>315</v>
      </c>
      <c r="B29" s="22">
        <v>0</v>
      </c>
      <c r="C29" s="12">
        <v>40</v>
      </c>
      <c r="D29" s="12">
        <v>0</v>
      </c>
      <c r="E29" s="12">
        <v>1</v>
      </c>
      <c r="F29" s="12">
        <v>1</v>
      </c>
      <c r="G29" s="12">
        <v>2</v>
      </c>
      <c r="H29" s="12">
        <v>1</v>
      </c>
      <c r="I29" s="12">
        <v>0</v>
      </c>
      <c r="J29" s="12">
        <v>1</v>
      </c>
      <c r="K29" s="12">
        <v>2</v>
      </c>
      <c r="L29" s="12">
        <v>119</v>
      </c>
      <c r="M29" s="12">
        <f>IF(K29=2,1,0)</f>
        <v>1</v>
      </c>
      <c r="N29" s="12">
        <v>8</v>
      </c>
      <c r="O29" s="12">
        <v>6</v>
      </c>
      <c r="P29" s="12">
        <v>10</v>
      </c>
      <c r="Q29" s="12">
        <v>5</v>
      </c>
      <c r="R29" s="12">
        <v>4</v>
      </c>
      <c r="S29" s="12">
        <f>IF(R29=4,1,0)</f>
        <v>1</v>
      </c>
      <c r="T29" s="12">
        <v>146</v>
      </c>
      <c r="U29" s="12">
        <v>6</v>
      </c>
      <c r="V29" s="12">
        <f>IF(U29=6,1,0)</f>
        <v>1</v>
      </c>
      <c r="W29" s="12">
        <v>13</v>
      </c>
      <c r="X29" s="12">
        <v>2000</v>
      </c>
      <c r="Y29" s="12">
        <f>IF(X29=2000,1,0)</f>
        <v>1</v>
      </c>
      <c r="Z29" s="12">
        <v>32</v>
      </c>
      <c r="AA29" s="12">
        <v>2500</v>
      </c>
      <c r="AB29" s="12">
        <f>IF(AA29=2524.95,1,0)</f>
        <v>0</v>
      </c>
      <c r="AC29" s="12">
        <v>104</v>
      </c>
      <c r="AD29" s="12">
        <v>1980.23</v>
      </c>
      <c r="AE29" s="12">
        <f>IF(AD29=1980.23,1,0)</f>
        <v>1</v>
      </c>
      <c r="AF29" s="12">
        <v>400</v>
      </c>
      <c r="AG29" s="12">
        <v>0</v>
      </c>
      <c r="AH29" s="12">
        <f>IF(AG29=1,1,0)</f>
        <v>0</v>
      </c>
      <c r="AI29" s="12">
        <v>23</v>
      </c>
      <c r="AJ29" s="12">
        <v>0</v>
      </c>
      <c r="AK29" s="12">
        <f>IF(AJ29=0,1,0)</f>
        <v>1</v>
      </c>
      <c r="AL29" s="12">
        <v>33</v>
      </c>
      <c r="AM29" s="12">
        <v>1</v>
      </c>
      <c r="AN29" s="12">
        <f>IF(AM29=0,1,0)</f>
        <v>0</v>
      </c>
      <c r="AO29" s="12">
        <v>26</v>
      </c>
      <c r="AP29" s="12">
        <v>2</v>
      </c>
      <c r="AQ29" s="12">
        <f>IF(AP29=0,1,0)</f>
        <v>0</v>
      </c>
      <c r="AR29" s="12">
        <v>23</v>
      </c>
      <c r="AS29" s="12">
        <v>2</v>
      </c>
      <c r="AT29" s="12">
        <f>IF(AS29=2,1,0)</f>
        <v>1</v>
      </c>
      <c r="AU29" s="12">
        <v>72</v>
      </c>
      <c r="AV29" s="12">
        <v>1</v>
      </c>
      <c r="AW29" s="12">
        <f>IF(AV29=1,1,0)</f>
        <v>1</v>
      </c>
      <c r="AX29" s="12">
        <v>13</v>
      </c>
      <c r="AY29" s="12">
        <v>3</v>
      </c>
      <c r="AZ29" s="12">
        <f>IF(AY29=3,1,0)</f>
        <v>1</v>
      </c>
      <c r="BA29" s="12">
        <v>47</v>
      </c>
      <c r="BB29" s="12">
        <v>2</v>
      </c>
      <c r="BC29" s="12">
        <f>IF(BB29=2,1,0)</f>
        <v>1</v>
      </c>
      <c r="BD29" s="12">
        <v>14</v>
      </c>
      <c r="BE29" s="12">
        <f>L29-BD29</f>
        <v>105</v>
      </c>
      <c r="BF29" s="12"/>
      <c r="BG29" s="12">
        <v>0</v>
      </c>
      <c r="BH29" s="12">
        <f>IF(BG29=2,1,0)</f>
        <v>0</v>
      </c>
      <c r="BI29" s="12">
        <v>958</v>
      </c>
      <c r="BJ29" s="12">
        <f>S29+V29+Y29+AB29+AE29+AH29+AK29+AN29+AQ29+AT29+AW29+AZ29+BC29+BH29</f>
        <v>9</v>
      </c>
      <c r="BK29" s="12">
        <f>T29+W29+Z29+AC29+AF29+AI29+AL29+AL29+AO29+AR29+AU29+AX29+BD29+BI29</f>
        <v>1890</v>
      </c>
      <c r="BL29" s="12">
        <v>2</v>
      </c>
      <c r="BM29" s="12">
        <v>2</v>
      </c>
      <c r="BN29" s="12">
        <v>2</v>
      </c>
      <c r="BO29" s="12">
        <v>2</v>
      </c>
      <c r="BP29" s="12">
        <v>3</v>
      </c>
      <c r="BQ29" s="12">
        <v>3</v>
      </c>
      <c r="BR29" s="12">
        <v>3</v>
      </c>
      <c r="BS29" s="12">
        <v>3</v>
      </c>
      <c r="BT29" s="12">
        <v>3</v>
      </c>
      <c r="BU29" s="12">
        <v>3</v>
      </c>
      <c r="BV29" s="12">
        <v>2</v>
      </c>
      <c r="BW29" s="12">
        <v>2</v>
      </c>
      <c r="BX29" s="12">
        <v>3</v>
      </c>
      <c r="BY29" s="12">
        <v>3</v>
      </c>
      <c r="BZ29" s="12">
        <v>2</v>
      </c>
      <c r="CA29" s="12">
        <v>2</v>
      </c>
      <c r="CB29" s="12">
        <v>2</v>
      </c>
      <c r="CC29" s="12">
        <v>2</v>
      </c>
      <c r="CD29" s="12">
        <v>2</v>
      </c>
      <c r="CE29" s="12">
        <v>2</v>
      </c>
      <c r="CF29" s="12">
        <v>2</v>
      </c>
      <c r="CG29" s="12">
        <v>3</v>
      </c>
      <c r="CH29" s="12">
        <v>2</v>
      </c>
      <c r="CI29" s="12">
        <v>2</v>
      </c>
      <c r="CJ29" s="12">
        <v>1</v>
      </c>
      <c r="CK29" s="12">
        <v>3</v>
      </c>
      <c r="CL29" s="12">
        <v>2</v>
      </c>
      <c r="CM29" s="12">
        <v>3</v>
      </c>
      <c r="CN29" s="12">
        <v>3</v>
      </c>
      <c r="CO29" s="12">
        <v>2</v>
      </c>
    </row>
    <row r="30" spans="1:93" x14ac:dyDescent="0.25">
      <c r="A30" s="22" t="s">
        <v>333</v>
      </c>
      <c r="B30" s="22">
        <v>1</v>
      </c>
      <c r="C30" s="12">
        <v>25</v>
      </c>
      <c r="D30" s="12">
        <v>0</v>
      </c>
      <c r="E30" s="12">
        <v>1</v>
      </c>
      <c r="F30" s="12">
        <v>1</v>
      </c>
      <c r="G30" s="12">
        <v>2</v>
      </c>
      <c r="H30" s="12">
        <v>1</v>
      </c>
      <c r="I30" s="12">
        <v>0</v>
      </c>
      <c r="J30" s="12">
        <v>0</v>
      </c>
      <c r="K30" s="12">
        <v>2</v>
      </c>
      <c r="L30" s="12">
        <v>52</v>
      </c>
      <c r="M30" s="12">
        <f>IF(K30=2,1,0)</f>
        <v>1</v>
      </c>
      <c r="N30" s="12">
        <v>8</v>
      </c>
      <c r="O30" s="12">
        <v>5</v>
      </c>
      <c r="P30" s="12">
        <v>7</v>
      </c>
      <c r="Q30" s="12">
        <v>8</v>
      </c>
      <c r="R30" s="12">
        <v>3</v>
      </c>
      <c r="S30" s="12">
        <f>IF(R30=4,1,0)</f>
        <v>0</v>
      </c>
      <c r="T30" s="12">
        <v>49</v>
      </c>
      <c r="U30" s="12">
        <v>10</v>
      </c>
      <c r="V30" s="12">
        <f>IF(U30=6,1,0)</f>
        <v>0</v>
      </c>
      <c r="W30" s="12">
        <v>21</v>
      </c>
      <c r="X30" s="12">
        <v>1000</v>
      </c>
      <c r="Y30" s="12">
        <f>IF(X30=2000,1,0)</f>
        <v>0</v>
      </c>
      <c r="Z30" s="12">
        <v>51</v>
      </c>
      <c r="AA30" s="12">
        <v>2331</v>
      </c>
      <c r="AB30" s="12">
        <f>IF(AA30=2524.95,1,0)</f>
        <v>0</v>
      </c>
      <c r="AC30" s="12">
        <v>28</v>
      </c>
      <c r="AD30" s="12">
        <v>150</v>
      </c>
      <c r="AE30" s="12">
        <f>IF(AD30=1980.23,1,0)</f>
        <v>0</v>
      </c>
      <c r="AF30" s="12">
        <v>40</v>
      </c>
      <c r="AG30" s="12">
        <v>1</v>
      </c>
      <c r="AH30" s="12">
        <f>IF(AG30=1,1,0)</f>
        <v>1</v>
      </c>
      <c r="AI30" s="12">
        <v>10</v>
      </c>
      <c r="AJ30" s="12">
        <v>0</v>
      </c>
      <c r="AK30" s="12">
        <f>IF(AJ30=0,1,0)</f>
        <v>1</v>
      </c>
      <c r="AL30" s="12">
        <v>164</v>
      </c>
      <c r="AM30" s="12">
        <v>0</v>
      </c>
      <c r="AN30" s="12">
        <f>IF(AM30=0,1,0)</f>
        <v>1</v>
      </c>
      <c r="AO30" s="12">
        <v>16</v>
      </c>
      <c r="AP30" s="12">
        <v>1</v>
      </c>
      <c r="AQ30" s="12">
        <f>IF(AP30=0,1,0)</f>
        <v>0</v>
      </c>
      <c r="AR30" s="12">
        <v>13</v>
      </c>
      <c r="AS30" s="12">
        <v>2</v>
      </c>
      <c r="AT30" s="12">
        <f>IF(AS30=2,1,0)</f>
        <v>1</v>
      </c>
      <c r="AU30" s="12">
        <v>17</v>
      </c>
      <c r="AV30" s="12">
        <v>1</v>
      </c>
      <c r="AW30" s="12">
        <f>IF(AV30=1,1,0)</f>
        <v>1</v>
      </c>
      <c r="AX30" s="12">
        <v>23</v>
      </c>
      <c r="AY30" s="12">
        <v>1</v>
      </c>
      <c r="AZ30" s="12">
        <f>IF(AY30=3,1,0)</f>
        <v>0</v>
      </c>
      <c r="BA30" s="12">
        <v>58</v>
      </c>
      <c r="BB30" s="12">
        <v>2</v>
      </c>
      <c r="BC30" s="12">
        <f>IF(BB30=2,1,0)</f>
        <v>1</v>
      </c>
      <c r="BD30" s="12">
        <v>13</v>
      </c>
      <c r="BE30" s="12">
        <f>L30-BD30</f>
        <v>39</v>
      </c>
      <c r="BF30" s="12"/>
      <c r="BG30" s="12">
        <v>3</v>
      </c>
      <c r="BH30" s="12">
        <f>IF(BG30=2,1,0)</f>
        <v>0</v>
      </c>
      <c r="BI30" s="12">
        <v>32</v>
      </c>
      <c r="BJ30" s="12">
        <f>S30+V30+Y30+AB30+AE30+AH30+AK30+AN30+AQ30+AT30+AW30+AZ30+BC30+BH30</f>
        <v>6</v>
      </c>
      <c r="BK30" s="12">
        <f>T30+W30+Z30+AC30+AF30+AI30+AL30+AO30+AR30+AU30+AX30+BA30+BD30+BI30</f>
        <v>535</v>
      </c>
      <c r="BL30" s="12">
        <v>2</v>
      </c>
      <c r="BM30" s="12">
        <v>2</v>
      </c>
      <c r="BN30" s="12">
        <v>3</v>
      </c>
      <c r="BO30" s="12">
        <v>3</v>
      </c>
      <c r="BP30" s="12">
        <v>2</v>
      </c>
      <c r="BQ30" s="12">
        <v>3</v>
      </c>
      <c r="BR30" s="12">
        <v>3</v>
      </c>
      <c r="BS30" s="12">
        <v>2</v>
      </c>
      <c r="BT30" s="12">
        <v>2</v>
      </c>
      <c r="BU30" s="12">
        <v>3</v>
      </c>
      <c r="BV30" s="12">
        <v>2</v>
      </c>
      <c r="BW30" s="12">
        <v>1</v>
      </c>
      <c r="BX30" s="12">
        <v>2</v>
      </c>
      <c r="BY30" s="12">
        <v>2</v>
      </c>
      <c r="BZ30" s="12">
        <v>2</v>
      </c>
      <c r="CA30" s="12">
        <v>3</v>
      </c>
      <c r="CB30" s="12">
        <v>2</v>
      </c>
      <c r="CC30" s="12">
        <v>2</v>
      </c>
      <c r="CD30" s="12">
        <v>3</v>
      </c>
      <c r="CE30" s="12">
        <v>3</v>
      </c>
      <c r="CF30" s="12">
        <v>3</v>
      </c>
      <c r="CG30" s="12">
        <v>2</v>
      </c>
      <c r="CH30" s="12">
        <v>2</v>
      </c>
      <c r="CI30" s="12">
        <v>3</v>
      </c>
      <c r="CJ30" s="12">
        <v>3</v>
      </c>
      <c r="CK30" s="12">
        <v>3</v>
      </c>
      <c r="CL30" s="12">
        <v>2</v>
      </c>
      <c r="CM30" s="12">
        <v>3</v>
      </c>
      <c r="CN30" s="12">
        <v>2</v>
      </c>
      <c r="CO30" s="12">
        <v>2</v>
      </c>
    </row>
    <row r="31" spans="1:93" x14ac:dyDescent="0.25">
      <c r="A31" s="22" t="s">
        <v>342</v>
      </c>
      <c r="B31" s="22">
        <v>1</v>
      </c>
      <c r="C31" s="12">
        <v>20</v>
      </c>
      <c r="D31" s="12">
        <v>0</v>
      </c>
      <c r="E31" s="12">
        <v>1</v>
      </c>
      <c r="F31" s="12">
        <v>0</v>
      </c>
      <c r="G31" s="12">
        <v>1</v>
      </c>
      <c r="H31" s="12">
        <v>1</v>
      </c>
      <c r="I31" s="12">
        <v>0</v>
      </c>
      <c r="J31" s="12">
        <v>2</v>
      </c>
      <c r="K31" s="12">
        <v>2</v>
      </c>
      <c r="L31" s="12">
        <v>157</v>
      </c>
      <c r="M31" s="12">
        <f>IF(K31=2,1,0)</f>
        <v>1</v>
      </c>
      <c r="N31" s="12">
        <v>3</v>
      </c>
      <c r="O31" s="12">
        <v>11</v>
      </c>
      <c r="P31" s="12">
        <v>6</v>
      </c>
      <c r="Q31" s="12">
        <v>7</v>
      </c>
      <c r="R31" s="12">
        <v>4</v>
      </c>
      <c r="S31" s="12">
        <f>IF(R31=4,1,0)</f>
        <v>1</v>
      </c>
      <c r="T31" s="12">
        <v>20</v>
      </c>
      <c r="U31" s="12">
        <v>6</v>
      </c>
      <c r="V31" s="12">
        <f>IF(U31=6,1,0)</f>
        <v>1</v>
      </c>
      <c r="W31" s="12">
        <v>5</v>
      </c>
      <c r="X31" s="12">
        <v>2000</v>
      </c>
      <c r="Y31" s="12">
        <f>IF(X31=2000,1,0)</f>
        <v>1</v>
      </c>
      <c r="Z31" s="12">
        <v>19</v>
      </c>
      <c r="AA31" s="12">
        <v>2524.9499999999998</v>
      </c>
      <c r="AB31" s="12">
        <f>IF(AA31=2524.95,1,0)</f>
        <v>1</v>
      </c>
      <c r="AC31" s="12">
        <v>35</v>
      </c>
      <c r="AD31" s="12">
        <v>1980.23</v>
      </c>
      <c r="AE31" s="12">
        <f>IF(AD31=1980.23,1,0)</f>
        <v>1</v>
      </c>
      <c r="AF31" s="12">
        <v>21</v>
      </c>
      <c r="AG31" s="12">
        <v>1</v>
      </c>
      <c r="AH31" s="12">
        <f>IF(AG31=1,1,0)</f>
        <v>1</v>
      </c>
      <c r="AI31" s="12">
        <v>44</v>
      </c>
      <c r="AJ31" s="12">
        <v>0</v>
      </c>
      <c r="AK31" s="12">
        <f>IF(AJ31=0,1,0)</f>
        <v>1</v>
      </c>
      <c r="AL31" s="12">
        <v>23</v>
      </c>
      <c r="AM31" s="12">
        <v>0</v>
      </c>
      <c r="AN31" s="12">
        <f>IF(AM31=0,1,0)</f>
        <v>1</v>
      </c>
      <c r="AO31" s="12">
        <v>20</v>
      </c>
      <c r="AP31" s="12">
        <v>0</v>
      </c>
      <c r="AQ31" s="12">
        <f>IF(AP31=0,1,0)</f>
        <v>1</v>
      </c>
      <c r="AR31" s="12">
        <v>19</v>
      </c>
      <c r="AS31" s="12">
        <v>2</v>
      </c>
      <c r="AT31" s="12">
        <f>IF(AS31=2,1,0)</f>
        <v>1</v>
      </c>
      <c r="AU31" s="12">
        <v>12</v>
      </c>
      <c r="AV31" s="12">
        <v>1</v>
      </c>
      <c r="AW31" s="12">
        <f>IF(AV31=1,1,0)</f>
        <v>1</v>
      </c>
      <c r="AX31" s="12">
        <v>6</v>
      </c>
      <c r="AY31" s="12">
        <v>3</v>
      </c>
      <c r="AZ31" s="12">
        <f>IF(AY31=3,1,0)</f>
        <v>1</v>
      </c>
      <c r="BA31" s="12">
        <v>30</v>
      </c>
      <c r="BB31" s="12">
        <v>2</v>
      </c>
      <c r="BC31" s="12">
        <f>IF(BB31=2,1,0)</f>
        <v>1</v>
      </c>
      <c r="BD31" s="12">
        <v>30</v>
      </c>
      <c r="BE31" s="12">
        <f>L31-BD31</f>
        <v>127</v>
      </c>
      <c r="BF31" s="12"/>
      <c r="BG31" s="12">
        <v>2</v>
      </c>
      <c r="BH31" s="12">
        <f>IF(BG31=2,1,0)</f>
        <v>1</v>
      </c>
      <c r="BI31" s="12">
        <v>81</v>
      </c>
      <c r="BJ31" s="12">
        <f>S31+V31+Y31+AB31+AE31+AH31+AK31+AN31+AQ31+AT31+AW31+AZ31+BC31+BH31</f>
        <v>14</v>
      </c>
      <c r="BK31" s="12">
        <f>T31+W31+Z31+AC31+AF31+AI31+AL31+AO31+AR31+AU31+AX31+BA31+BD31+BI31</f>
        <v>365</v>
      </c>
      <c r="BL31" s="12">
        <v>4</v>
      </c>
      <c r="BM31" s="12">
        <v>4</v>
      </c>
      <c r="BN31" s="12">
        <v>3</v>
      </c>
      <c r="BO31" s="12">
        <v>4</v>
      </c>
      <c r="BP31" s="12">
        <v>4</v>
      </c>
      <c r="BQ31" s="12">
        <v>3</v>
      </c>
      <c r="BR31" s="12">
        <v>3</v>
      </c>
      <c r="BS31" s="12">
        <v>3</v>
      </c>
      <c r="BT31" s="12">
        <v>3</v>
      </c>
      <c r="BU31" s="12">
        <v>4</v>
      </c>
      <c r="BV31" s="12">
        <v>4</v>
      </c>
      <c r="BW31" s="12">
        <v>4</v>
      </c>
      <c r="BX31" s="12">
        <v>4</v>
      </c>
      <c r="BY31" s="12">
        <v>4</v>
      </c>
      <c r="BZ31" s="12">
        <v>4</v>
      </c>
      <c r="CA31" s="12">
        <v>4</v>
      </c>
      <c r="CB31" s="12">
        <v>4</v>
      </c>
      <c r="CC31" s="12">
        <v>4</v>
      </c>
      <c r="CD31" s="12">
        <v>3</v>
      </c>
      <c r="CE31" s="12">
        <v>2</v>
      </c>
      <c r="CF31" s="12">
        <v>3</v>
      </c>
      <c r="CG31" s="12">
        <v>3</v>
      </c>
      <c r="CH31" s="12">
        <v>3</v>
      </c>
      <c r="CI31" s="12">
        <v>4</v>
      </c>
      <c r="CJ31" s="12">
        <v>4</v>
      </c>
      <c r="CK31" s="12">
        <v>4</v>
      </c>
      <c r="CL31" s="12">
        <v>4</v>
      </c>
      <c r="CM31" s="12">
        <v>4</v>
      </c>
      <c r="CN31" s="12">
        <v>4</v>
      </c>
      <c r="CO31" s="12">
        <v>4</v>
      </c>
    </row>
    <row r="32" spans="1:93" x14ac:dyDescent="0.25">
      <c r="A32" s="22" t="s">
        <v>343</v>
      </c>
      <c r="B32" s="22">
        <v>1</v>
      </c>
      <c r="C32" s="12">
        <v>23</v>
      </c>
      <c r="D32" s="12">
        <v>0</v>
      </c>
      <c r="E32" s="12">
        <v>1</v>
      </c>
      <c r="F32" s="12">
        <v>0</v>
      </c>
      <c r="G32" s="12">
        <v>1</v>
      </c>
      <c r="H32" s="12">
        <v>1</v>
      </c>
      <c r="I32" s="12">
        <v>0</v>
      </c>
      <c r="J32" s="12">
        <v>1</v>
      </c>
      <c r="K32" s="12">
        <v>2</v>
      </c>
      <c r="L32" s="12">
        <v>24</v>
      </c>
      <c r="M32" s="12">
        <f>IF(K32=2,1,0)</f>
        <v>1</v>
      </c>
      <c r="N32" s="12">
        <v>5</v>
      </c>
      <c r="O32" s="12">
        <v>7</v>
      </c>
      <c r="P32" s="12">
        <v>9</v>
      </c>
      <c r="Q32" s="12">
        <v>5</v>
      </c>
      <c r="R32" s="12">
        <v>4</v>
      </c>
      <c r="S32" s="12">
        <f>IF(R32=4,1,0)</f>
        <v>1</v>
      </c>
      <c r="T32" s="12">
        <v>116</v>
      </c>
      <c r="U32" s="12">
        <v>6</v>
      </c>
      <c r="V32" s="12">
        <f>IF(U32=6,1,0)</f>
        <v>1</v>
      </c>
      <c r="W32" s="12">
        <v>24</v>
      </c>
      <c r="X32" s="12">
        <v>2000</v>
      </c>
      <c r="Y32" s="12">
        <f>IF(X32=2000,1,0)</f>
        <v>1</v>
      </c>
      <c r="Z32" s="12">
        <v>9</v>
      </c>
      <c r="AA32" s="12">
        <v>2525</v>
      </c>
      <c r="AB32" s="12">
        <v>1</v>
      </c>
      <c r="AC32" s="12">
        <v>31</v>
      </c>
      <c r="AD32" s="12">
        <v>1980</v>
      </c>
      <c r="AE32" s="12">
        <v>1</v>
      </c>
      <c r="AF32" s="12">
        <v>18</v>
      </c>
      <c r="AG32" s="12">
        <v>0</v>
      </c>
      <c r="AH32" s="12">
        <f>IF(AG32=1,1,0)</f>
        <v>0</v>
      </c>
      <c r="AI32" s="12">
        <v>42</v>
      </c>
      <c r="AJ32" s="12">
        <v>0</v>
      </c>
      <c r="AK32" s="12">
        <f>IF(AJ32=0,1,0)</f>
        <v>1</v>
      </c>
      <c r="AL32" s="12">
        <v>16</v>
      </c>
      <c r="AM32" s="12">
        <v>0</v>
      </c>
      <c r="AN32" s="12">
        <f>IF(AM32=0,1,0)</f>
        <v>1</v>
      </c>
      <c r="AO32" s="12">
        <v>27</v>
      </c>
      <c r="AP32" s="12">
        <v>0</v>
      </c>
      <c r="AQ32" s="12">
        <f>IF(AP32=0,1,0)</f>
        <v>1</v>
      </c>
      <c r="AR32" s="12">
        <v>25</v>
      </c>
      <c r="AS32" s="12">
        <v>2</v>
      </c>
      <c r="AT32" s="12">
        <f>IF(AS32=2,1,0)</f>
        <v>1</v>
      </c>
      <c r="AU32" s="12">
        <v>19</v>
      </c>
      <c r="AV32" s="12">
        <v>1</v>
      </c>
      <c r="AW32" s="12">
        <f>IF(AV32=1,1,0)</f>
        <v>1</v>
      </c>
      <c r="AX32" s="12">
        <v>5</v>
      </c>
      <c r="AY32" s="12">
        <v>0</v>
      </c>
      <c r="AZ32" s="12">
        <f>IF(AY32=3,1,0)</f>
        <v>0</v>
      </c>
      <c r="BA32" s="12">
        <v>30</v>
      </c>
      <c r="BB32" s="12">
        <v>2</v>
      </c>
      <c r="BC32" s="12">
        <f>IF(BB32=2,1,0)</f>
        <v>1</v>
      </c>
      <c r="BD32" s="12">
        <v>21</v>
      </c>
      <c r="BE32" s="12">
        <f>L32-BD32</f>
        <v>3</v>
      </c>
      <c r="BF32" s="12"/>
      <c r="BG32" s="12">
        <v>2</v>
      </c>
      <c r="BH32" s="12">
        <f>IF(BG32=2,1,0)</f>
        <v>1</v>
      </c>
      <c r="BI32" s="12">
        <v>63</v>
      </c>
      <c r="BJ32" s="12">
        <f>S32+V32+Y32+AB32+AE32+AH32+AK32+AN32+AQ32+AT32+AW32+AZ32+BC32+BH32</f>
        <v>12</v>
      </c>
      <c r="BK32" s="12">
        <f>T32+W32+Z32+AC32+AF32+AI32+AL32+AO32+AR32+AU32+AX32+BA32+BD32+BI32</f>
        <v>446</v>
      </c>
      <c r="BL32" s="12">
        <v>4</v>
      </c>
      <c r="BM32" s="12">
        <v>4</v>
      </c>
      <c r="BN32" s="12">
        <v>4</v>
      </c>
      <c r="BO32" s="12">
        <v>4</v>
      </c>
      <c r="BP32" s="12">
        <v>4</v>
      </c>
      <c r="BQ32" s="12">
        <v>4</v>
      </c>
      <c r="BR32" s="12">
        <v>4</v>
      </c>
      <c r="BS32" s="12">
        <v>4</v>
      </c>
      <c r="BT32" s="12">
        <v>4</v>
      </c>
      <c r="BU32" s="12">
        <v>4</v>
      </c>
      <c r="BV32" s="12">
        <v>4</v>
      </c>
      <c r="BW32" s="12">
        <v>4</v>
      </c>
      <c r="BX32" s="12">
        <v>4</v>
      </c>
      <c r="BY32" s="12">
        <v>4</v>
      </c>
      <c r="BZ32" s="12">
        <v>3</v>
      </c>
      <c r="CA32" s="12">
        <v>4</v>
      </c>
      <c r="CB32" s="12">
        <v>4</v>
      </c>
      <c r="CC32" s="12">
        <v>4</v>
      </c>
      <c r="CD32" s="12">
        <v>4</v>
      </c>
      <c r="CE32" s="12">
        <v>4</v>
      </c>
      <c r="CF32" s="12">
        <v>3</v>
      </c>
      <c r="CG32" s="12">
        <v>4</v>
      </c>
      <c r="CH32" s="12">
        <v>4</v>
      </c>
      <c r="CI32" s="12">
        <v>4</v>
      </c>
      <c r="CJ32" s="12">
        <v>3</v>
      </c>
      <c r="CK32" s="12">
        <v>4</v>
      </c>
      <c r="CL32" s="12">
        <v>4</v>
      </c>
      <c r="CM32" s="12">
        <v>4</v>
      </c>
      <c r="CN32" s="12">
        <v>4</v>
      </c>
      <c r="CO32" s="12">
        <v>3</v>
      </c>
    </row>
    <row r="33" spans="1:93" x14ac:dyDescent="0.25">
      <c r="A33" s="22" t="s">
        <v>344</v>
      </c>
      <c r="B33" s="22">
        <v>1</v>
      </c>
      <c r="C33" s="12">
        <v>22</v>
      </c>
      <c r="D33" s="12">
        <v>0</v>
      </c>
      <c r="E33" s="12">
        <v>0</v>
      </c>
      <c r="F33" s="12">
        <v>0</v>
      </c>
      <c r="G33" s="12">
        <v>1</v>
      </c>
      <c r="H33" s="12">
        <v>0</v>
      </c>
      <c r="I33" s="12">
        <v>0</v>
      </c>
      <c r="J33" s="12">
        <v>1</v>
      </c>
      <c r="K33" s="12">
        <v>2</v>
      </c>
      <c r="L33" s="12">
        <v>63</v>
      </c>
      <c r="M33" s="12">
        <f>IF(K33=2,1,0)</f>
        <v>1</v>
      </c>
      <c r="N33" s="12">
        <v>8</v>
      </c>
      <c r="O33" s="12">
        <v>10</v>
      </c>
      <c r="P33" s="12">
        <v>9</v>
      </c>
      <c r="Q33" s="12">
        <v>7</v>
      </c>
      <c r="R33" s="12">
        <v>4</v>
      </c>
      <c r="S33" s="12">
        <f>IF(R33=4,1,0)</f>
        <v>1</v>
      </c>
      <c r="T33" s="12">
        <v>23</v>
      </c>
      <c r="U33" s="12">
        <v>6</v>
      </c>
      <c r="V33" s="12">
        <f>IF(U33=6,1,0)</f>
        <v>1</v>
      </c>
      <c r="W33" s="12">
        <v>5</v>
      </c>
      <c r="X33" s="12">
        <v>1980.23</v>
      </c>
      <c r="Y33" s="12">
        <f>IF(X33=2000,1,0)</f>
        <v>0</v>
      </c>
      <c r="Z33" s="12">
        <v>43</v>
      </c>
      <c r="AA33" s="12">
        <v>2524.9499999999998</v>
      </c>
      <c r="AB33" s="12">
        <f>IF(AA33=2524.95,1,0)</f>
        <v>1</v>
      </c>
      <c r="AC33" s="12">
        <v>56</v>
      </c>
      <c r="AD33" s="12">
        <v>1980.23</v>
      </c>
      <c r="AE33" s="12">
        <f>IF(AD33=1980.23,1,0)</f>
        <v>1</v>
      </c>
      <c r="AF33" s="12">
        <v>21</v>
      </c>
      <c r="AG33" s="12">
        <v>1</v>
      </c>
      <c r="AH33" s="12">
        <f>IF(AG33=1,1,0)</f>
        <v>1</v>
      </c>
      <c r="AI33" s="12">
        <v>22</v>
      </c>
      <c r="AJ33" s="12">
        <v>0</v>
      </c>
      <c r="AK33" s="12">
        <f>IF(AJ33=0,1,0)</f>
        <v>1</v>
      </c>
      <c r="AL33" s="12">
        <v>14</v>
      </c>
      <c r="AM33" s="12">
        <v>0</v>
      </c>
      <c r="AN33" s="12">
        <f>IF(AM33=0,1,0)</f>
        <v>1</v>
      </c>
      <c r="AO33" s="12">
        <v>27</v>
      </c>
      <c r="AP33" s="12">
        <v>2</v>
      </c>
      <c r="AQ33" s="12">
        <f>IF(AP33=0,1,0)</f>
        <v>0</v>
      </c>
      <c r="AR33" s="12">
        <v>21</v>
      </c>
      <c r="AS33" s="12">
        <v>2</v>
      </c>
      <c r="AT33" s="12">
        <f>IF(AS33=2,1,0)</f>
        <v>1</v>
      </c>
      <c r="AU33" s="12">
        <v>22</v>
      </c>
      <c r="AV33" s="12">
        <v>1</v>
      </c>
      <c r="AW33" s="12">
        <f>IF(AV33=1,1,0)</f>
        <v>1</v>
      </c>
      <c r="AX33" s="12">
        <v>4</v>
      </c>
      <c r="AY33" s="12">
        <v>0</v>
      </c>
      <c r="AZ33" s="12">
        <f>IF(AY33=3,1,0)</f>
        <v>0</v>
      </c>
      <c r="BA33" s="12">
        <v>30</v>
      </c>
      <c r="BB33" s="12">
        <v>2</v>
      </c>
      <c r="BC33" s="12">
        <f>IF(BB33=2,1,0)</f>
        <v>1</v>
      </c>
      <c r="BD33" s="12">
        <v>9</v>
      </c>
      <c r="BE33" s="12">
        <f>L33-BD33</f>
        <v>54</v>
      </c>
      <c r="BF33" s="12"/>
      <c r="BG33" s="12">
        <v>2</v>
      </c>
      <c r="BH33" s="12">
        <f>IF(BG33=2,1,0)</f>
        <v>1</v>
      </c>
      <c r="BI33" s="12">
        <v>130</v>
      </c>
      <c r="BJ33" s="12">
        <f>S33+V33+Y33+AB33+AE33+AH33+AK33+AN33+AQ33+AT33+AW33+AZ33+BC33+BH33</f>
        <v>11</v>
      </c>
      <c r="BK33" s="12">
        <f>T33+W33+Z33+AC33+AF33+AI33+AL33+AO33+AR33+AU33+AX33+BA33+BD33+BI33</f>
        <v>427</v>
      </c>
      <c r="BL33" s="12">
        <v>4</v>
      </c>
      <c r="BM33" s="12">
        <v>4</v>
      </c>
      <c r="BN33" s="12">
        <v>4</v>
      </c>
      <c r="BO33" s="12">
        <v>4</v>
      </c>
      <c r="BP33" s="12">
        <v>4</v>
      </c>
      <c r="BQ33" s="12">
        <v>4</v>
      </c>
      <c r="BR33" s="12">
        <v>4</v>
      </c>
      <c r="BS33" s="12">
        <v>4</v>
      </c>
      <c r="BT33" s="12">
        <v>4</v>
      </c>
      <c r="BU33" s="12">
        <v>4</v>
      </c>
      <c r="BV33" s="12">
        <v>4</v>
      </c>
      <c r="BW33" s="12">
        <v>4</v>
      </c>
      <c r="BX33" s="12">
        <v>4</v>
      </c>
      <c r="BY33" s="12">
        <v>4</v>
      </c>
      <c r="BZ33" s="12">
        <v>4</v>
      </c>
      <c r="CA33" s="12">
        <v>4</v>
      </c>
      <c r="CB33" s="12">
        <v>4</v>
      </c>
      <c r="CC33" s="12">
        <v>4</v>
      </c>
      <c r="CD33" s="12">
        <v>4</v>
      </c>
      <c r="CE33" s="12">
        <v>2</v>
      </c>
      <c r="CF33" s="12">
        <v>3</v>
      </c>
      <c r="CG33" s="12">
        <v>3</v>
      </c>
      <c r="CH33" s="12">
        <v>3</v>
      </c>
      <c r="CI33" s="12">
        <v>4</v>
      </c>
      <c r="CJ33" s="12">
        <v>4</v>
      </c>
      <c r="CK33" s="12">
        <v>2</v>
      </c>
      <c r="CL33" s="12">
        <v>4</v>
      </c>
      <c r="CM33" s="12">
        <v>4</v>
      </c>
      <c r="CN33" s="12">
        <v>4</v>
      </c>
      <c r="CO33" s="12">
        <v>2</v>
      </c>
    </row>
    <row r="34" spans="1:93" x14ac:dyDescent="0.25">
      <c r="A34" s="22" t="s">
        <v>345</v>
      </c>
      <c r="B34" s="22">
        <v>1</v>
      </c>
      <c r="C34" s="12">
        <v>20</v>
      </c>
      <c r="D34" s="12">
        <v>0</v>
      </c>
      <c r="E34" s="12">
        <v>1</v>
      </c>
      <c r="F34" s="12">
        <v>1</v>
      </c>
      <c r="G34" s="12">
        <v>1</v>
      </c>
      <c r="H34" s="12">
        <v>0</v>
      </c>
      <c r="I34" s="12">
        <v>1</v>
      </c>
      <c r="J34" s="12"/>
      <c r="K34" s="12">
        <v>2</v>
      </c>
      <c r="L34" s="12">
        <v>3</v>
      </c>
      <c r="M34" s="12">
        <f>IF(K34=2,1,0)</f>
        <v>1</v>
      </c>
      <c r="N34" s="12">
        <v>5</v>
      </c>
      <c r="O34" s="12">
        <v>6</v>
      </c>
      <c r="P34" s="12">
        <v>10</v>
      </c>
      <c r="Q34" s="12">
        <v>4</v>
      </c>
      <c r="R34" s="12">
        <v>4</v>
      </c>
      <c r="S34" s="12">
        <f>IF(R34=4,1,0)</f>
        <v>1</v>
      </c>
      <c r="T34" s="12">
        <v>17</v>
      </c>
      <c r="U34" s="12">
        <v>0.06</v>
      </c>
      <c r="V34" s="12">
        <v>1</v>
      </c>
      <c r="W34" s="12">
        <v>131</v>
      </c>
      <c r="X34" s="12">
        <v>2000</v>
      </c>
      <c r="Y34" s="12">
        <f>IF(X34=2000,1,0)</f>
        <v>1</v>
      </c>
      <c r="Z34" s="12">
        <v>35</v>
      </c>
      <c r="AA34" s="12">
        <v>2524.9499999999998</v>
      </c>
      <c r="AB34" s="12">
        <f>IF(AA34=2524.95,1,0)</f>
        <v>1</v>
      </c>
      <c r="AC34" s="12">
        <v>54</v>
      </c>
      <c r="AD34" s="12">
        <v>1980.23</v>
      </c>
      <c r="AE34" s="12">
        <f>IF(AD34=1980.23,1,0)</f>
        <v>1</v>
      </c>
      <c r="AF34" s="12">
        <v>68</v>
      </c>
      <c r="AG34" s="12">
        <v>1</v>
      </c>
      <c r="AH34" s="12">
        <f>IF(AG34=1,1,0)</f>
        <v>1</v>
      </c>
      <c r="AI34" s="12">
        <v>9</v>
      </c>
      <c r="AJ34" s="12">
        <v>0</v>
      </c>
      <c r="AK34" s="12">
        <f>IF(AJ34=0,1,0)</f>
        <v>1</v>
      </c>
      <c r="AL34" s="12">
        <v>5</v>
      </c>
      <c r="AM34" s="12">
        <v>0</v>
      </c>
      <c r="AN34" s="12">
        <f>IF(AM34=0,1,0)</f>
        <v>1</v>
      </c>
      <c r="AO34" s="12">
        <v>3</v>
      </c>
      <c r="AP34" s="12">
        <v>0</v>
      </c>
      <c r="AQ34" s="12">
        <f>IF(AP34=0,1,0)</f>
        <v>1</v>
      </c>
      <c r="AR34" s="12">
        <v>8</v>
      </c>
      <c r="AS34" s="12">
        <v>2</v>
      </c>
      <c r="AT34" s="12">
        <f>IF(AS34=2,1,0)</f>
        <v>1</v>
      </c>
      <c r="AU34" s="12">
        <v>3</v>
      </c>
      <c r="AV34" s="12">
        <v>1</v>
      </c>
      <c r="AW34" s="12">
        <f>IF(AV34=1,1,0)</f>
        <v>1</v>
      </c>
      <c r="AX34" s="12">
        <v>2</v>
      </c>
      <c r="AY34" s="12">
        <v>3</v>
      </c>
      <c r="AZ34" s="12">
        <f>IF(AY34=3,1,0)</f>
        <v>1</v>
      </c>
      <c r="BA34" s="12">
        <v>5</v>
      </c>
      <c r="BB34" s="12">
        <v>2</v>
      </c>
      <c r="BC34" s="12">
        <f>IF(BB34=2,1,0)</f>
        <v>1</v>
      </c>
      <c r="BD34" s="12">
        <v>3</v>
      </c>
      <c r="BE34" s="12">
        <f>L34-BD34</f>
        <v>0</v>
      </c>
      <c r="BF34" s="12"/>
      <c r="BG34" s="12">
        <v>2</v>
      </c>
      <c r="BH34" s="12">
        <f>IF(BG34=2,1,0)</f>
        <v>1</v>
      </c>
      <c r="BI34" s="12">
        <v>2</v>
      </c>
      <c r="BJ34" s="12">
        <f>S34+V34+Y34+AB34+AE34+AH34+AK34+AN34+AQ34+AT34+AW34+AZ34+BC34+BH34</f>
        <v>14</v>
      </c>
      <c r="BK34" s="12">
        <f>T34+W34+Z34+AC34+AF34+AI34+AL34+AO34+AR34+AU34+AX34+BA34+BD34+BI34</f>
        <v>345</v>
      </c>
      <c r="BL34" s="12">
        <v>2</v>
      </c>
      <c r="BM34" s="12">
        <v>3</v>
      </c>
      <c r="BN34" s="12">
        <v>3</v>
      </c>
      <c r="BO34" s="12">
        <v>3</v>
      </c>
      <c r="BP34" s="12">
        <v>3</v>
      </c>
      <c r="BQ34" s="12">
        <v>2</v>
      </c>
      <c r="BR34" s="12">
        <v>3</v>
      </c>
      <c r="BS34" s="12">
        <v>3</v>
      </c>
      <c r="BT34" s="12">
        <v>2</v>
      </c>
      <c r="BU34" s="12">
        <v>3</v>
      </c>
      <c r="BV34" s="12">
        <v>3</v>
      </c>
      <c r="BW34" s="12">
        <v>3</v>
      </c>
      <c r="BX34" s="12">
        <v>3</v>
      </c>
      <c r="BY34" s="12">
        <v>3</v>
      </c>
      <c r="BZ34" s="12">
        <v>2</v>
      </c>
      <c r="CA34" s="12">
        <v>3</v>
      </c>
      <c r="CB34" s="12">
        <v>2</v>
      </c>
      <c r="CC34" s="12">
        <v>2</v>
      </c>
      <c r="CD34" s="12">
        <v>2</v>
      </c>
      <c r="CE34" s="12">
        <v>3</v>
      </c>
      <c r="CF34" s="12">
        <v>3</v>
      </c>
      <c r="CG34" s="12">
        <v>2</v>
      </c>
      <c r="CH34" s="12">
        <v>2</v>
      </c>
      <c r="CI34" s="12">
        <v>2</v>
      </c>
      <c r="CJ34" s="12">
        <v>2</v>
      </c>
      <c r="CK34" s="12">
        <v>3</v>
      </c>
      <c r="CL34" s="12">
        <v>2</v>
      </c>
      <c r="CM34" s="12">
        <v>3</v>
      </c>
      <c r="CN34" s="12">
        <v>2</v>
      </c>
      <c r="CO34" s="12">
        <v>2</v>
      </c>
    </row>
    <row r="35" spans="1:93" x14ac:dyDescent="0.25">
      <c r="A35" s="22" t="s">
        <v>346</v>
      </c>
      <c r="B35" s="22">
        <v>1</v>
      </c>
      <c r="C35" s="12">
        <v>36</v>
      </c>
      <c r="D35" s="12">
        <v>0</v>
      </c>
      <c r="E35" s="12">
        <v>0</v>
      </c>
      <c r="F35" s="12">
        <v>1</v>
      </c>
      <c r="G35" s="12">
        <v>2</v>
      </c>
      <c r="H35" s="12">
        <v>0</v>
      </c>
      <c r="I35" s="12">
        <v>0</v>
      </c>
      <c r="J35" s="12">
        <v>0</v>
      </c>
      <c r="K35" s="12">
        <v>2</v>
      </c>
      <c r="L35" s="12">
        <v>53</v>
      </c>
      <c r="M35" s="12">
        <f>IF(K35=2,1,0)</f>
        <v>1</v>
      </c>
      <c r="N35" s="12">
        <v>9</v>
      </c>
      <c r="O35" s="12">
        <v>5</v>
      </c>
      <c r="P35" s="12">
        <v>9</v>
      </c>
      <c r="Q35" s="12">
        <v>6</v>
      </c>
      <c r="R35" s="12">
        <v>3</v>
      </c>
      <c r="S35" s="12">
        <f>IF(R35=4,1,0)</f>
        <v>0</v>
      </c>
      <c r="T35" s="12">
        <v>9</v>
      </c>
      <c r="U35" s="12">
        <v>9</v>
      </c>
      <c r="V35" s="12">
        <f>IF(U35=6,1,0)</f>
        <v>0</v>
      </c>
      <c r="W35" s="12">
        <v>5</v>
      </c>
      <c r="X35" s="12">
        <v>10000</v>
      </c>
      <c r="Y35" s="12">
        <f>IF(X35=2000,1,0)</f>
        <v>0</v>
      </c>
      <c r="Z35" s="12">
        <v>8</v>
      </c>
      <c r="AA35" s="12">
        <v>22000</v>
      </c>
      <c r="AB35" s="12">
        <f>IF(AA35=2524.95,1,0)</f>
        <v>0</v>
      </c>
      <c r="AC35" s="12">
        <v>15</v>
      </c>
      <c r="AD35" s="12">
        <v>26000</v>
      </c>
      <c r="AE35" s="12">
        <f>IF(AD35=1980.23,1,0)</f>
        <v>0</v>
      </c>
      <c r="AF35" s="12">
        <v>17</v>
      </c>
      <c r="AG35" s="12">
        <v>1</v>
      </c>
      <c r="AH35" s="12">
        <f>IF(AG35=1,1,0)</f>
        <v>1</v>
      </c>
      <c r="AI35" s="12">
        <v>5</v>
      </c>
      <c r="AJ35" s="12">
        <v>0</v>
      </c>
      <c r="AK35" s="12">
        <f>IF(AJ35=0,1,0)</f>
        <v>1</v>
      </c>
      <c r="AL35" s="12">
        <v>14</v>
      </c>
      <c r="AM35" s="12">
        <v>0</v>
      </c>
      <c r="AN35" s="12">
        <f>IF(AM35=0,1,0)</f>
        <v>1</v>
      </c>
      <c r="AO35" s="12">
        <v>13</v>
      </c>
      <c r="AP35" s="12">
        <v>2</v>
      </c>
      <c r="AQ35" s="12">
        <f>IF(AP35=0,1,0)</f>
        <v>0</v>
      </c>
      <c r="AR35" s="12">
        <v>13</v>
      </c>
      <c r="AS35" s="12">
        <v>1</v>
      </c>
      <c r="AT35" s="12">
        <f>IF(AS35=2,1,0)</f>
        <v>0</v>
      </c>
      <c r="AU35" s="12">
        <v>11</v>
      </c>
      <c r="AV35" s="12">
        <v>2</v>
      </c>
      <c r="AW35" s="12">
        <f>IF(AV35=1,1,0)</f>
        <v>0</v>
      </c>
      <c r="AX35" s="12">
        <v>15</v>
      </c>
      <c r="AY35" s="12">
        <v>3</v>
      </c>
      <c r="AZ35" s="12">
        <f>IF(AY35=3,1,0)</f>
        <v>1</v>
      </c>
      <c r="BA35" s="12">
        <v>24</v>
      </c>
      <c r="BB35" s="12">
        <v>2</v>
      </c>
      <c r="BC35" s="12">
        <f>IF(BB35=2,1,0)</f>
        <v>1</v>
      </c>
      <c r="BD35" s="12">
        <v>8</v>
      </c>
      <c r="BE35" s="12">
        <f>L35-BD35</f>
        <v>45</v>
      </c>
      <c r="BF35" s="12"/>
      <c r="BG35" s="12">
        <v>0</v>
      </c>
      <c r="BH35" s="12">
        <f>IF(BG35=2,1,0)</f>
        <v>0</v>
      </c>
      <c r="BI35" s="12">
        <v>92</v>
      </c>
      <c r="BJ35" s="12">
        <f>S35+V35+Y35+AB35+AE35+AH35+AK35+AN35+AQ35+AT35+AW35+AZ35+BC35+BH35</f>
        <v>5</v>
      </c>
      <c r="BK35" s="12">
        <f>T35+W35+Z35+AC35+AF35+AI35+AL35+AO35+AR35+AU35+AX35+BA35+BD35+BI35</f>
        <v>249</v>
      </c>
      <c r="BL35" s="12">
        <v>4</v>
      </c>
      <c r="BM35" s="12">
        <v>2</v>
      </c>
      <c r="BN35" s="12">
        <v>2</v>
      </c>
      <c r="BO35" s="12">
        <v>3</v>
      </c>
      <c r="BP35" s="12">
        <v>4</v>
      </c>
      <c r="BQ35" s="12">
        <v>4</v>
      </c>
      <c r="BR35" s="12">
        <v>4</v>
      </c>
      <c r="BS35" s="12">
        <v>4</v>
      </c>
      <c r="BT35" s="12">
        <v>4</v>
      </c>
      <c r="BU35" s="12">
        <v>3</v>
      </c>
      <c r="BV35" s="12">
        <v>4</v>
      </c>
      <c r="BW35" s="12">
        <v>4</v>
      </c>
      <c r="BX35" s="12">
        <v>4</v>
      </c>
      <c r="BY35" s="12">
        <v>4</v>
      </c>
      <c r="BZ35" s="12">
        <v>4</v>
      </c>
      <c r="CA35" s="12">
        <v>4</v>
      </c>
      <c r="CB35" s="12">
        <v>4</v>
      </c>
      <c r="CC35" s="12">
        <v>4</v>
      </c>
      <c r="CD35" s="12">
        <v>4</v>
      </c>
      <c r="CE35" s="12">
        <v>4</v>
      </c>
      <c r="CF35" s="12">
        <v>2</v>
      </c>
      <c r="CG35" s="12">
        <v>2</v>
      </c>
      <c r="CH35" s="12">
        <v>2</v>
      </c>
      <c r="CI35" s="12">
        <v>3</v>
      </c>
      <c r="CJ35" s="12">
        <v>3</v>
      </c>
      <c r="CK35" s="12">
        <v>4</v>
      </c>
      <c r="CL35" s="12">
        <v>4</v>
      </c>
      <c r="CM35" s="12">
        <v>4</v>
      </c>
      <c r="CN35" s="12">
        <v>4</v>
      </c>
      <c r="CO35" s="12">
        <v>4</v>
      </c>
    </row>
    <row r="36" spans="1:93" x14ac:dyDescent="0.25">
      <c r="A36" s="22" t="s">
        <v>347</v>
      </c>
      <c r="B36" s="22">
        <v>1</v>
      </c>
      <c r="C36" s="12">
        <v>34</v>
      </c>
      <c r="D36" s="12">
        <v>0</v>
      </c>
      <c r="E36" s="12">
        <v>0</v>
      </c>
      <c r="F36" s="12">
        <v>1</v>
      </c>
      <c r="G36" s="12">
        <v>1</v>
      </c>
      <c r="H36" s="12">
        <v>1</v>
      </c>
      <c r="I36" s="12">
        <v>0</v>
      </c>
      <c r="J36" s="12">
        <v>1</v>
      </c>
      <c r="K36" s="12">
        <v>2</v>
      </c>
      <c r="L36" s="12">
        <v>50</v>
      </c>
      <c r="M36" s="12">
        <f>IF(K36=2,1,0)</f>
        <v>1</v>
      </c>
      <c r="N36" s="12">
        <v>5</v>
      </c>
      <c r="O36" s="12">
        <v>6</v>
      </c>
      <c r="P36" s="12">
        <v>7</v>
      </c>
      <c r="Q36" s="12">
        <v>6</v>
      </c>
      <c r="R36" s="12">
        <v>4</v>
      </c>
      <c r="S36" s="12">
        <f>IF(R36=4,1,0)</f>
        <v>1</v>
      </c>
      <c r="T36" s="12">
        <v>43</v>
      </c>
      <c r="U36" s="12">
        <v>0.06</v>
      </c>
      <c r="V36" s="12">
        <v>1</v>
      </c>
      <c r="W36" s="12">
        <v>14</v>
      </c>
      <c r="X36" s="12">
        <v>2000</v>
      </c>
      <c r="Y36" s="12">
        <f>IF(X36=2000,1,0)</f>
        <v>1</v>
      </c>
      <c r="Z36" s="12">
        <v>10</v>
      </c>
      <c r="AA36" s="12">
        <v>2524.9499999999998</v>
      </c>
      <c r="AB36" s="12">
        <f>IF(AA36=2524.95,1,0)</f>
        <v>1</v>
      </c>
      <c r="AC36" s="12">
        <v>25</v>
      </c>
      <c r="AD36" s="12">
        <v>1980.23</v>
      </c>
      <c r="AE36" s="12">
        <f>IF(AD36=1980.23,1,0)</f>
        <v>1</v>
      </c>
      <c r="AF36" s="12">
        <v>27</v>
      </c>
      <c r="AG36" s="12">
        <v>0</v>
      </c>
      <c r="AH36" s="12">
        <f>IF(AG36=1,1,0)</f>
        <v>0</v>
      </c>
      <c r="AI36" s="12">
        <v>6</v>
      </c>
      <c r="AJ36" s="12">
        <v>0</v>
      </c>
      <c r="AK36" s="12">
        <f>IF(AJ36=0,1,0)</f>
        <v>1</v>
      </c>
      <c r="AL36" s="12">
        <v>25</v>
      </c>
      <c r="AM36" s="12">
        <v>3</v>
      </c>
      <c r="AN36" s="12">
        <f>IF(AM36=0,1,0)</f>
        <v>0</v>
      </c>
      <c r="AO36" s="12">
        <v>20</v>
      </c>
      <c r="AP36" s="12">
        <v>0</v>
      </c>
      <c r="AQ36" s="12">
        <f>IF(AP36=0,1,0)</f>
        <v>1</v>
      </c>
      <c r="AR36" s="12">
        <v>28</v>
      </c>
      <c r="AS36" s="12">
        <v>2</v>
      </c>
      <c r="AT36" s="12">
        <f>IF(AS36=2,1,0)</f>
        <v>1</v>
      </c>
      <c r="AU36" s="12">
        <v>28</v>
      </c>
      <c r="AV36" s="12">
        <v>1</v>
      </c>
      <c r="AW36" s="12">
        <f>IF(AV36=1,1,0)</f>
        <v>1</v>
      </c>
      <c r="AX36" s="12">
        <v>4</v>
      </c>
      <c r="AY36" s="12">
        <v>3</v>
      </c>
      <c r="AZ36" s="12">
        <f>IF(AY36=3,1,0)</f>
        <v>1</v>
      </c>
      <c r="BA36" s="12">
        <v>30</v>
      </c>
      <c r="BB36" s="12">
        <v>2</v>
      </c>
      <c r="BC36" s="12">
        <f>IF(BB36=2,1,0)</f>
        <v>1</v>
      </c>
      <c r="BD36" s="12">
        <v>27</v>
      </c>
      <c r="BE36" s="12">
        <f>L36-BD36</f>
        <v>23</v>
      </c>
      <c r="BF36" s="12"/>
      <c r="BG36" s="12">
        <v>2</v>
      </c>
      <c r="BH36" s="12">
        <f>IF(BG36=2,1,0)</f>
        <v>1</v>
      </c>
      <c r="BI36" s="12">
        <v>109</v>
      </c>
      <c r="BJ36" s="12">
        <f>S36+V36+Y36+AB36+AE36+AH36+AK36+AN36+AQ36+AT36+AW36+AZ36+BC36+BH36</f>
        <v>12</v>
      </c>
      <c r="BK36" s="12">
        <f>T36+W36+Z36+AC36+AF36+AI36+AL36+AO36+AR36+AU36+AX36+BA36+BD36+BI36</f>
        <v>396</v>
      </c>
      <c r="BL36" s="12">
        <v>4</v>
      </c>
      <c r="BM36" s="12">
        <v>4</v>
      </c>
      <c r="BN36" s="12">
        <v>4</v>
      </c>
      <c r="BO36" s="12">
        <v>4</v>
      </c>
      <c r="BP36" s="12">
        <v>4</v>
      </c>
      <c r="BQ36" s="12">
        <v>4</v>
      </c>
      <c r="BR36" s="12">
        <v>3</v>
      </c>
      <c r="BS36" s="12">
        <v>4</v>
      </c>
      <c r="BT36" s="12">
        <v>3</v>
      </c>
      <c r="BU36" s="12">
        <v>4</v>
      </c>
      <c r="BV36" s="12">
        <v>4</v>
      </c>
      <c r="BW36" s="12">
        <v>4</v>
      </c>
      <c r="BX36" s="12">
        <v>4</v>
      </c>
      <c r="BY36" s="12">
        <v>4</v>
      </c>
      <c r="BZ36" s="12">
        <v>3</v>
      </c>
      <c r="CA36" s="12">
        <v>4</v>
      </c>
      <c r="CB36" s="12">
        <v>3</v>
      </c>
      <c r="CC36" s="12">
        <v>4</v>
      </c>
      <c r="CD36" s="12">
        <v>3</v>
      </c>
      <c r="CE36" s="12">
        <v>2</v>
      </c>
      <c r="CF36" s="12">
        <v>3</v>
      </c>
      <c r="CG36" s="12">
        <v>3</v>
      </c>
      <c r="CH36" s="12">
        <v>3</v>
      </c>
      <c r="CI36" s="12">
        <v>4</v>
      </c>
      <c r="CJ36" s="12">
        <v>4</v>
      </c>
      <c r="CK36" s="12">
        <v>2</v>
      </c>
      <c r="CL36" s="12">
        <v>4</v>
      </c>
      <c r="CM36" s="12">
        <v>4</v>
      </c>
      <c r="CN36" s="12">
        <v>4</v>
      </c>
      <c r="CO36" s="12">
        <v>3</v>
      </c>
    </row>
    <row r="37" spans="1:93" x14ac:dyDescent="0.25">
      <c r="A37" s="22" t="s">
        <v>348</v>
      </c>
      <c r="B37" s="22">
        <v>1</v>
      </c>
      <c r="C37" s="12">
        <v>32</v>
      </c>
      <c r="D37" s="12">
        <v>1</v>
      </c>
      <c r="E37" s="12">
        <v>0</v>
      </c>
      <c r="F37" s="12">
        <v>0</v>
      </c>
      <c r="G37" s="12">
        <v>1</v>
      </c>
      <c r="H37" s="12">
        <v>1</v>
      </c>
      <c r="I37" s="12">
        <v>1</v>
      </c>
      <c r="J37" s="12"/>
      <c r="K37" s="12">
        <v>2</v>
      </c>
      <c r="L37" s="12">
        <v>94</v>
      </c>
      <c r="M37" s="12">
        <f>IF(K37=2,1,0)</f>
        <v>1</v>
      </c>
      <c r="N37" s="12">
        <v>8</v>
      </c>
      <c r="O37" s="12">
        <v>10</v>
      </c>
      <c r="P37" s="12">
        <v>10</v>
      </c>
      <c r="Q37" s="12">
        <v>10</v>
      </c>
      <c r="R37" s="12">
        <v>4</v>
      </c>
      <c r="S37" s="12">
        <f>IF(R37=4,1,0)</f>
        <v>1</v>
      </c>
      <c r="T37" s="12">
        <v>12</v>
      </c>
      <c r="U37" s="12">
        <v>0.06</v>
      </c>
      <c r="V37" s="12">
        <v>1</v>
      </c>
      <c r="W37" s="12">
        <v>8</v>
      </c>
      <c r="X37" s="12">
        <v>2000</v>
      </c>
      <c r="Y37" s="12">
        <f>IF(X37=2000,1,0)</f>
        <v>1</v>
      </c>
      <c r="Z37" s="12">
        <v>13</v>
      </c>
      <c r="AA37" s="12">
        <v>2525</v>
      </c>
      <c r="AB37" s="12">
        <v>1</v>
      </c>
      <c r="AC37" s="12">
        <v>22</v>
      </c>
      <c r="AD37" s="12">
        <v>1980</v>
      </c>
      <c r="AE37" s="12">
        <v>1</v>
      </c>
      <c r="AF37" s="12">
        <v>30</v>
      </c>
      <c r="AG37" s="12">
        <v>0</v>
      </c>
      <c r="AH37" s="12">
        <f>IF(AG37=1,1,0)</f>
        <v>0</v>
      </c>
      <c r="AI37" s="12">
        <v>4</v>
      </c>
      <c r="AJ37" s="12">
        <v>0</v>
      </c>
      <c r="AK37" s="12">
        <f>IF(AJ37=0,1,0)</f>
        <v>1</v>
      </c>
      <c r="AL37" s="12">
        <v>8</v>
      </c>
      <c r="AM37" s="12">
        <v>1</v>
      </c>
      <c r="AN37" s="12">
        <f>IF(AM37=0,1,0)</f>
        <v>0</v>
      </c>
      <c r="AO37" s="12">
        <v>9</v>
      </c>
      <c r="AP37" s="12">
        <v>2</v>
      </c>
      <c r="AQ37" s="12">
        <f>IF(AP37=0,1,0)</f>
        <v>0</v>
      </c>
      <c r="AR37" s="12">
        <v>8</v>
      </c>
      <c r="AS37" s="12">
        <v>2</v>
      </c>
      <c r="AT37" s="12">
        <f>IF(AS37=2,1,0)</f>
        <v>1</v>
      </c>
      <c r="AU37" s="12">
        <v>50</v>
      </c>
      <c r="AV37" s="12">
        <v>1</v>
      </c>
      <c r="AW37" s="12">
        <f>IF(AV37=1,1,0)</f>
        <v>1</v>
      </c>
      <c r="AX37" s="12">
        <v>5</v>
      </c>
      <c r="AY37" s="12">
        <v>0</v>
      </c>
      <c r="AZ37" s="12">
        <f>IF(AY37=3,1,0)</f>
        <v>0</v>
      </c>
      <c r="BA37" s="12">
        <v>12</v>
      </c>
      <c r="BB37" s="12">
        <v>2</v>
      </c>
      <c r="BC37" s="12">
        <f>IF(BB37=2,1,0)</f>
        <v>1</v>
      </c>
      <c r="BD37" s="12">
        <v>17</v>
      </c>
      <c r="BE37" s="12">
        <f>L37-BD37</f>
        <v>77</v>
      </c>
      <c r="BF37" s="12"/>
      <c r="BG37" s="12">
        <v>2</v>
      </c>
      <c r="BH37" s="12">
        <f>IF(BG37=2,1,0)</f>
        <v>1</v>
      </c>
      <c r="BI37" s="12">
        <v>87</v>
      </c>
      <c r="BJ37" s="12">
        <f>S37+V37+Y37+AB37+AE37+AH37+AK37+AN37+AQ37+AT37+AW37+AZ37+BC37+BH37</f>
        <v>10</v>
      </c>
      <c r="BK37" s="12">
        <f>T37+W37+Z37+AC37+AF37+AI37+AL37+AO37+AR37+AU37+AX37+BA37+BD37+BI37</f>
        <v>285</v>
      </c>
      <c r="BL37" s="12">
        <v>3</v>
      </c>
      <c r="BM37" s="12">
        <v>3</v>
      </c>
      <c r="BN37" s="12">
        <v>1</v>
      </c>
      <c r="BO37" s="12">
        <v>3</v>
      </c>
      <c r="BP37" s="12">
        <v>4</v>
      </c>
      <c r="BQ37" s="12">
        <v>4</v>
      </c>
      <c r="BR37" s="12">
        <v>4</v>
      </c>
      <c r="BS37" s="12">
        <v>4</v>
      </c>
      <c r="BT37" s="12">
        <v>4</v>
      </c>
      <c r="BU37" s="12">
        <v>4</v>
      </c>
      <c r="BV37" s="12">
        <v>4</v>
      </c>
      <c r="BW37" s="12">
        <v>4</v>
      </c>
      <c r="BX37" s="12">
        <v>4</v>
      </c>
      <c r="BY37" s="12">
        <v>4</v>
      </c>
      <c r="BZ37" s="12">
        <v>4</v>
      </c>
      <c r="CA37" s="12">
        <v>4</v>
      </c>
      <c r="CB37" s="12">
        <v>4</v>
      </c>
      <c r="CC37" s="12">
        <v>4</v>
      </c>
      <c r="CD37" s="12">
        <v>3</v>
      </c>
      <c r="CE37" s="12">
        <v>2</v>
      </c>
      <c r="CF37" s="12">
        <v>3</v>
      </c>
      <c r="CG37" s="12">
        <v>3</v>
      </c>
      <c r="CH37" s="12">
        <v>3</v>
      </c>
      <c r="CI37" s="12">
        <v>3</v>
      </c>
      <c r="CJ37" s="12">
        <v>3</v>
      </c>
      <c r="CK37" s="12">
        <v>4</v>
      </c>
      <c r="CL37" s="12">
        <v>3</v>
      </c>
      <c r="CM37" s="12">
        <v>4</v>
      </c>
      <c r="CN37" s="12">
        <v>3</v>
      </c>
      <c r="CO37" s="12">
        <v>4</v>
      </c>
    </row>
    <row r="38" spans="1:93" x14ac:dyDescent="0.25">
      <c r="A38" s="22" t="s">
        <v>349</v>
      </c>
      <c r="B38" s="22">
        <v>1</v>
      </c>
      <c r="C38" s="12">
        <v>33</v>
      </c>
      <c r="D38" s="12">
        <v>0</v>
      </c>
      <c r="E38" s="12">
        <v>0</v>
      </c>
      <c r="F38" s="12">
        <v>1</v>
      </c>
      <c r="G38" s="12">
        <v>1</v>
      </c>
      <c r="H38" s="12">
        <v>5</v>
      </c>
      <c r="I38" s="12">
        <v>1</v>
      </c>
      <c r="J38" s="12"/>
      <c r="K38" s="12">
        <v>2</v>
      </c>
      <c r="L38" s="12">
        <v>313</v>
      </c>
      <c r="M38" s="12">
        <f>IF(K38=2,1,0)</f>
        <v>1</v>
      </c>
      <c r="N38" s="12">
        <v>4</v>
      </c>
      <c r="O38" s="12">
        <v>2</v>
      </c>
      <c r="P38" s="12">
        <v>6</v>
      </c>
      <c r="Q38" s="12">
        <v>5</v>
      </c>
      <c r="R38" s="12">
        <v>4</v>
      </c>
      <c r="S38" s="12">
        <f>IF(R38=4,1,0)</f>
        <v>1</v>
      </c>
      <c r="T38" s="12">
        <v>23</v>
      </c>
      <c r="U38" s="12">
        <v>6</v>
      </c>
      <c r="V38" s="12">
        <f>IF(U38=6,1,0)</f>
        <v>1</v>
      </c>
      <c r="W38" s="12">
        <v>12</v>
      </c>
      <c r="X38" s="12">
        <v>2000</v>
      </c>
      <c r="Y38" s="12">
        <f>IF(X38=2000,1,0)</f>
        <v>1</v>
      </c>
      <c r="Z38" s="12">
        <v>26</v>
      </c>
      <c r="AA38" s="12">
        <v>2480</v>
      </c>
      <c r="AB38" s="12">
        <f>IF(AA38=2524.95,1,0)</f>
        <v>0</v>
      </c>
      <c r="AC38" s="12">
        <v>418</v>
      </c>
      <c r="AD38" s="12">
        <v>600</v>
      </c>
      <c r="AE38" s="12">
        <f>IF(AD38=1980.23,1,0)</f>
        <v>0</v>
      </c>
      <c r="AF38" s="12">
        <v>124</v>
      </c>
      <c r="AG38" s="12">
        <v>1</v>
      </c>
      <c r="AH38" s="12">
        <f>IF(AG38=1,1,0)</f>
        <v>1</v>
      </c>
      <c r="AI38" s="12">
        <v>15</v>
      </c>
      <c r="AJ38" s="12">
        <v>0</v>
      </c>
      <c r="AK38" s="12">
        <f>IF(AJ38=0,1,0)</f>
        <v>1</v>
      </c>
      <c r="AL38" s="12">
        <v>28</v>
      </c>
      <c r="AM38" s="12">
        <v>0</v>
      </c>
      <c r="AN38" s="12">
        <f>IF(AM38=0,1,0)</f>
        <v>1</v>
      </c>
      <c r="AO38" s="12">
        <v>25</v>
      </c>
      <c r="AP38" s="12">
        <v>2</v>
      </c>
      <c r="AQ38" s="12">
        <f>IF(AP38=0,1,0)</f>
        <v>0</v>
      </c>
      <c r="AR38" s="12">
        <v>14</v>
      </c>
      <c r="AS38" s="12">
        <v>1</v>
      </c>
      <c r="AT38" s="12">
        <f>IF(AS38=2,1,0)</f>
        <v>0</v>
      </c>
      <c r="AU38" s="12">
        <v>25</v>
      </c>
      <c r="AV38" s="12">
        <v>1</v>
      </c>
      <c r="AW38" s="12">
        <f>IF(AV38=1,1,0)</f>
        <v>1</v>
      </c>
      <c r="AX38" s="12">
        <v>20</v>
      </c>
      <c r="AY38" s="12">
        <v>3</v>
      </c>
      <c r="AZ38" s="12">
        <f>IF(AY38=3,1,0)</f>
        <v>1</v>
      </c>
      <c r="BA38" s="12">
        <v>64</v>
      </c>
      <c r="BB38" s="12">
        <v>2</v>
      </c>
      <c r="BC38" s="12">
        <f>IF(BB38=2,1,0)</f>
        <v>1</v>
      </c>
      <c r="BD38" s="12">
        <v>9</v>
      </c>
      <c r="BE38" s="12">
        <f>L38-BD38</f>
        <v>304</v>
      </c>
      <c r="BF38" s="12"/>
      <c r="BG38" s="12">
        <v>0</v>
      </c>
      <c r="BH38" s="12">
        <f>IF(BG38=2,1,0)</f>
        <v>0</v>
      </c>
      <c r="BI38" s="12">
        <v>64</v>
      </c>
      <c r="BJ38" s="12">
        <f>S38+V38+Y38+AB38+AE38+AH38+AK38+AN38+AQ38+AT38+AW38+AZ38+BC38+BH38</f>
        <v>9</v>
      </c>
      <c r="BK38" s="12">
        <f>T38+W38+Z38+AC38+AF38+AI38+AL38+AO38+AR38+AU38+AX38+BA38+BD38+BI38</f>
        <v>867</v>
      </c>
      <c r="BL38" s="12">
        <v>3</v>
      </c>
      <c r="BM38" s="12">
        <v>3</v>
      </c>
      <c r="BN38" s="12">
        <v>2</v>
      </c>
      <c r="BO38" s="12">
        <v>3</v>
      </c>
      <c r="BP38" s="12">
        <v>4</v>
      </c>
      <c r="BQ38" s="12">
        <v>3</v>
      </c>
      <c r="BR38" s="12">
        <v>3</v>
      </c>
      <c r="BS38" s="12">
        <v>4</v>
      </c>
      <c r="BT38" s="12">
        <v>3</v>
      </c>
      <c r="BU38" s="12">
        <v>4</v>
      </c>
      <c r="BV38" s="12">
        <v>3</v>
      </c>
      <c r="BW38" s="12">
        <v>3</v>
      </c>
      <c r="BX38" s="12">
        <v>4</v>
      </c>
      <c r="BY38" s="12">
        <v>3</v>
      </c>
      <c r="BZ38" s="12">
        <v>4</v>
      </c>
      <c r="CA38" s="12">
        <v>3</v>
      </c>
      <c r="CB38" s="12">
        <v>3</v>
      </c>
      <c r="CC38" s="12">
        <v>4</v>
      </c>
      <c r="CD38" s="12">
        <v>3</v>
      </c>
      <c r="CE38" s="12">
        <v>2</v>
      </c>
      <c r="CF38" s="12">
        <v>3</v>
      </c>
      <c r="CG38" s="12">
        <v>2</v>
      </c>
      <c r="CH38" s="12">
        <v>2</v>
      </c>
      <c r="CI38" s="12">
        <v>3</v>
      </c>
      <c r="CJ38" s="12">
        <v>3</v>
      </c>
      <c r="CK38" s="12">
        <v>4</v>
      </c>
      <c r="CL38" s="12">
        <v>2</v>
      </c>
      <c r="CM38" s="12">
        <v>3</v>
      </c>
      <c r="CN38" s="12">
        <v>4</v>
      </c>
      <c r="CO38" s="12">
        <v>4</v>
      </c>
    </row>
    <row r="39" spans="1:93" x14ac:dyDescent="0.25">
      <c r="A39" s="22" t="s">
        <v>350</v>
      </c>
      <c r="B39" s="22">
        <v>1</v>
      </c>
      <c r="C39" s="12">
        <v>42</v>
      </c>
      <c r="D39" s="12">
        <v>0</v>
      </c>
      <c r="E39" s="12">
        <v>0</v>
      </c>
      <c r="F39" s="12">
        <v>1</v>
      </c>
      <c r="G39" s="12">
        <v>1</v>
      </c>
      <c r="H39" s="12">
        <v>6</v>
      </c>
      <c r="I39" s="12">
        <v>0</v>
      </c>
      <c r="J39" s="12">
        <v>1</v>
      </c>
      <c r="K39" s="12">
        <v>2</v>
      </c>
      <c r="L39" s="12">
        <v>124</v>
      </c>
      <c r="M39" s="12">
        <f>IF(K39=2,1,0)</f>
        <v>1</v>
      </c>
      <c r="N39" s="12">
        <v>7</v>
      </c>
      <c r="O39" s="12">
        <v>11</v>
      </c>
      <c r="P39" s="12">
        <v>11</v>
      </c>
      <c r="Q39" s="12">
        <v>8</v>
      </c>
      <c r="R39" s="12">
        <v>4</v>
      </c>
      <c r="S39" s="12">
        <f>IF(R39=4,1,0)</f>
        <v>1</v>
      </c>
      <c r="T39" s="12">
        <v>11</v>
      </c>
      <c r="U39" s="12">
        <v>6</v>
      </c>
      <c r="V39" s="12">
        <f>IF(U39=6,1,0)</f>
        <v>1</v>
      </c>
      <c r="W39" s="12">
        <v>9</v>
      </c>
      <c r="X39" s="12">
        <v>2000</v>
      </c>
      <c r="Y39" s="12">
        <f>IF(X39=2000,1,0)</f>
        <v>1</v>
      </c>
      <c r="Z39" s="12">
        <v>15</v>
      </c>
      <c r="AA39" s="12">
        <v>2524.9499999999998</v>
      </c>
      <c r="AB39" s="12">
        <f>IF(AA39=2524.95,1,0)</f>
        <v>1</v>
      </c>
      <c r="AC39" s="12">
        <v>33</v>
      </c>
      <c r="AD39" s="12">
        <v>1980.23</v>
      </c>
      <c r="AE39" s="12">
        <f>IF(AD39=1980.23,1,0)</f>
        <v>1</v>
      </c>
      <c r="AF39" s="12">
        <v>20</v>
      </c>
      <c r="AG39" s="12">
        <v>1</v>
      </c>
      <c r="AH39" s="12">
        <f>IF(AG39=1,1,0)</f>
        <v>1</v>
      </c>
      <c r="AI39" s="12">
        <v>7</v>
      </c>
      <c r="AJ39" s="12">
        <v>0</v>
      </c>
      <c r="AK39" s="12">
        <f>IF(AJ39=0,1,0)</f>
        <v>1</v>
      </c>
      <c r="AL39" s="12">
        <v>15</v>
      </c>
      <c r="AM39" s="12">
        <v>0</v>
      </c>
      <c r="AN39" s="12">
        <f>IF(AM39=0,1,0)</f>
        <v>1</v>
      </c>
      <c r="AO39" s="12">
        <v>16</v>
      </c>
      <c r="AP39" s="12">
        <v>0</v>
      </c>
      <c r="AQ39" s="12">
        <f>IF(AP39=0,1,0)</f>
        <v>1</v>
      </c>
      <c r="AR39" s="12">
        <v>27</v>
      </c>
      <c r="AS39" s="12">
        <v>2</v>
      </c>
      <c r="AT39" s="12">
        <f>IF(AS39=2,1,0)</f>
        <v>1</v>
      </c>
      <c r="AU39" s="12">
        <v>8</v>
      </c>
      <c r="AV39" s="12">
        <v>1</v>
      </c>
      <c r="AW39" s="12">
        <f>IF(AV39=1,1,0)</f>
        <v>1</v>
      </c>
      <c r="AX39" s="12">
        <v>6</v>
      </c>
      <c r="AY39" s="12">
        <v>3</v>
      </c>
      <c r="AZ39" s="12">
        <f>IF(AY39=3,1,0)</f>
        <v>1</v>
      </c>
      <c r="BA39" s="12">
        <v>21</v>
      </c>
      <c r="BB39" s="12">
        <v>2</v>
      </c>
      <c r="BC39" s="12">
        <f>IF(BB39=2,1,0)</f>
        <v>1</v>
      </c>
      <c r="BD39" s="12">
        <v>27</v>
      </c>
      <c r="BE39" s="12">
        <f>L39-BD39</f>
        <v>97</v>
      </c>
      <c r="BF39" s="12"/>
      <c r="BG39" s="12">
        <v>2</v>
      </c>
      <c r="BH39" s="12">
        <f>IF(BG39=2,1,0)</f>
        <v>1</v>
      </c>
      <c r="BI39" s="12">
        <v>56</v>
      </c>
      <c r="BJ39" s="12">
        <f>S39+V39+Y39+AB39+AE39+AH39+AK39+AN39+AQ39+AT39+AW39+AZ39+BC39+BH39</f>
        <v>14</v>
      </c>
      <c r="BK39" s="12">
        <f>T39+W39+Z39+AC39+AF39+AI39+AL39+AO39+AR39+AU39+AX39+BA39+BD39+BI39</f>
        <v>271</v>
      </c>
      <c r="BL39" s="12">
        <v>0</v>
      </c>
      <c r="BM39" s="12">
        <v>3</v>
      </c>
      <c r="BN39" s="12">
        <v>2</v>
      </c>
      <c r="BO39" s="12">
        <v>4</v>
      </c>
      <c r="BP39" s="12">
        <v>3</v>
      </c>
      <c r="BQ39" s="12">
        <v>2</v>
      </c>
      <c r="BR39" s="12">
        <v>2</v>
      </c>
      <c r="BS39" s="12">
        <v>2</v>
      </c>
      <c r="BT39" s="12">
        <v>2</v>
      </c>
      <c r="BU39" s="12">
        <v>3</v>
      </c>
      <c r="BV39" s="12">
        <v>4</v>
      </c>
      <c r="BW39" s="12">
        <v>3</v>
      </c>
      <c r="BX39" s="12">
        <v>3</v>
      </c>
      <c r="BY39" s="12">
        <v>2</v>
      </c>
      <c r="BZ39" s="12">
        <v>3</v>
      </c>
      <c r="CA39" s="12">
        <v>2</v>
      </c>
      <c r="CB39" s="12">
        <v>3</v>
      </c>
      <c r="CC39" s="12">
        <v>3</v>
      </c>
      <c r="CD39" s="12">
        <v>3</v>
      </c>
      <c r="CE39" s="12">
        <v>3</v>
      </c>
      <c r="CF39" s="12">
        <v>2</v>
      </c>
      <c r="CG39" s="12">
        <v>1</v>
      </c>
      <c r="CH39" s="12">
        <v>2</v>
      </c>
      <c r="CI39" s="12">
        <v>3</v>
      </c>
      <c r="CJ39" s="12">
        <v>1</v>
      </c>
      <c r="CK39" s="12">
        <v>2</v>
      </c>
      <c r="CL39" s="12">
        <v>4</v>
      </c>
      <c r="CM39" s="12">
        <v>4</v>
      </c>
      <c r="CN39" s="12">
        <v>4</v>
      </c>
      <c r="CO39" s="12">
        <v>3</v>
      </c>
    </row>
    <row r="40" spans="1:93" x14ac:dyDescent="0.25">
      <c r="A40" s="22" t="s">
        <v>351</v>
      </c>
      <c r="B40" s="22">
        <v>1</v>
      </c>
      <c r="C40" s="12">
        <v>38</v>
      </c>
      <c r="D40" s="12">
        <v>0</v>
      </c>
      <c r="E40" s="12">
        <v>0</v>
      </c>
      <c r="F40" s="12">
        <v>1</v>
      </c>
      <c r="G40" s="12">
        <v>1</v>
      </c>
      <c r="H40" s="12">
        <v>1</v>
      </c>
      <c r="I40" s="12">
        <v>0</v>
      </c>
      <c r="J40" s="12">
        <v>1</v>
      </c>
      <c r="K40" s="12">
        <v>2</v>
      </c>
      <c r="L40" s="12">
        <v>36</v>
      </c>
      <c r="M40" s="12">
        <f>IF(K40=2,1,0)</f>
        <v>1</v>
      </c>
      <c r="N40" s="12">
        <v>4</v>
      </c>
      <c r="O40" s="12">
        <v>11</v>
      </c>
      <c r="P40" s="12">
        <v>7</v>
      </c>
      <c r="Q40" s="12">
        <v>9</v>
      </c>
      <c r="R40" s="12">
        <v>4</v>
      </c>
      <c r="S40" s="12">
        <f>IF(R40=4,1,0)</f>
        <v>1</v>
      </c>
      <c r="T40" s="12">
        <v>56</v>
      </c>
      <c r="U40" s="12">
        <v>6</v>
      </c>
      <c r="V40" s="12">
        <f>IF(U40=6,1,0)</f>
        <v>1</v>
      </c>
      <c r="W40" s="12">
        <v>7</v>
      </c>
      <c r="X40" s="12">
        <v>2000</v>
      </c>
      <c r="Y40" s="12">
        <f>IF(X40=2000,1,0)</f>
        <v>1</v>
      </c>
      <c r="Z40" s="12">
        <v>10</v>
      </c>
      <c r="AA40" s="12">
        <v>2524.9499999999998</v>
      </c>
      <c r="AB40" s="12">
        <f>IF(AA40=2524.95,1,0)</f>
        <v>1</v>
      </c>
      <c r="AC40" s="12">
        <v>25</v>
      </c>
      <c r="AD40" s="12">
        <v>1980.23</v>
      </c>
      <c r="AE40" s="12">
        <f>IF(AD40=1980.23,1,0)</f>
        <v>1</v>
      </c>
      <c r="AF40" s="12">
        <v>27</v>
      </c>
      <c r="AG40" s="12">
        <v>1</v>
      </c>
      <c r="AH40" s="12">
        <f>IF(AG40=1,1,0)</f>
        <v>1</v>
      </c>
      <c r="AI40" s="12">
        <v>20</v>
      </c>
      <c r="AJ40" s="12">
        <v>0</v>
      </c>
      <c r="AK40" s="12">
        <f>IF(AJ40=0,1,0)</f>
        <v>1</v>
      </c>
      <c r="AL40" s="12">
        <v>13</v>
      </c>
      <c r="AM40" s="12">
        <v>3</v>
      </c>
      <c r="AN40" s="12">
        <f>IF(AM40=0,1,0)</f>
        <v>0</v>
      </c>
      <c r="AO40" s="12">
        <v>14</v>
      </c>
      <c r="AP40" s="12">
        <v>0</v>
      </c>
      <c r="AQ40" s="12">
        <f>IF(AP40=0,1,0)</f>
        <v>1</v>
      </c>
      <c r="AR40" s="12">
        <v>10</v>
      </c>
      <c r="AS40" s="12">
        <v>0</v>
      </c>
      <c r="AT40" s="12">
        <f>IF(AS40=2,1,0)</f>
        <v>0</v>
      </c>
      <c r="AU40" s="12">
        <v>10</v>
      </c>
      <c r="AV40" s="12">
        <v>1</v>
      </c>
      <c r="AW40" s="12">
        <f>IF(AV40=1,1,0)</f>
        <v>1</v>
      </c>
      <c r="AX40" s="12">
        <v>6</v>
      </c>
      <c r="AY40" s="12">
        <v>3</v>
      </c>
      <c r="AZ40" s="12">
        <f>IF(AY40=3,1,0)</f>
        <v>1</v>
      </c>
      <c r="BA40" s="12">
        <v>23</v>
      </c>
      <c r="BB40" s="12">
        <v>2</v>
      </c>
      <c r="BC40" s="12">
        <f>IF(BB40=2,1,0)</f>
        <v>1</v>
      </c>
      <c r="BD40" s="12">
        <v>41</v>
      </c>
      <c r="BE40" s="12">
        <f>L40-BD40</f>
        <v>-5</v>
      </c>
      <c r="BF40" s="12"/>
      <c r="BG40" s="12">
        <v>3</v>
      </c>
      <c r="BH40" s="12">
        <f>IF(BG40=2,1,0)</f>
        <v>0</v>
      </c>
      <c r="BI40" s="12">
        <v>18</v>
      </c>
      <c r="BJ40" s="12">
        <f>S40+V40+Y40+AB40+AE40+AH40+AK40+AN40+AQ40+AT40+AW40+AZ40+BC40+BH40</f>
        <v>11</v>
      </c>
      <c r="BK40" s="12">
        <f>T40+W40+Z40+AC40+AF40+AI40+AL40+AO40+AR40+AU40+AX40+BA40+BD40+BI40</f>
        <v>280</v>
      </c>
      <c r="BL40" s="12">
        <v>4</v>
      </c>
      <c r="BM40" s="12">
        <v>4</v>
      </c>
      <c r="BN40" s="12">
        <v>4</v>
      </c>
      <c r="BO40" s="12">
        <v>4</v>
      </c>
      <c r="BP40" s="12">
        <v>4</v>
      </c>
      <c r="BQ40" s="12">
        <v>4</v>
      </c>
      <c r="BR40" s="12">
        <v>4</v>
      </c>
      <c r="BS40" s="12">
        <v>4</v>
      </c>
      <c r="BT40" s="12">
        <v>4</v>
      </c>
      <c r="BU40" s="12">
        <v>4</v>
      </c>
      <c r="BV40" s="12">
        <v>4</v>
      </c>
      <c r="BW40" s="12">
        <v>4</v>
      </c>
      <c r="BX40" s="12">
        <v>4</v>
      </c>
      <c r="BY40" s="12">
        <v>4</v>
      </c>
      <c r="BZ40" s="12">
        <v>4</v>
      </c>
      <c r="CA40" s="12">
        <v>4</v>
      </c>
      <c r="CB40" s="12">
        <v>4</v>
      </c>
      <c r="CC40" s="12">
        <v>4</v>
      </c>
      <c r="CD40" s="12">
        <v>4</v>
      </c>
      <c r="CE40" s="12">
        <v>2</v>
      </c>
      <c r="CF40" s="12">
        <v>2</v>
      </c>
      <c r="CG40" s="12">
        <v>2</v>
      </c>
      <c r="CH40" s="12">
        <v>3</v>
      </c>
      <c r="CI40" s="12">
        <v>3</v>
      </c>
      <c r="CJ40" s="12">
        <v>3</v>
      </c>
      <c r="CK40" s="12">
        <v>3</v>
      </c>
      <c r="CL40" s="12">
        <v>4</v>
      </c>
      <c r="CM40" s="12">
        <v>3</v>
      </c>
      <c r="CN40" s="12">
        <v>3</v>
      </c>
      <c r="CO40" s="12">
        <v>2</v>
      </c>
    </row>
    <row r="41" spans="1:93" x14ac:dyDescent="0.25">
      <c r="A41" s="22" t="s">
        <v>334</v>
      </c>
      <c r="B41" s="22">
        <v>1</v>
      </c>
      <c r="C41" s="12">
        <v>20</v>
      </c>
      <c r="D41" s="12">
        <v>1</v>
      </c>
      <c r="E41" s="12">
        <v>0</v>
      </c>
      <c r="F41" s="12">
        <v>0</v>
      </c>
      <c r="G41" s="12">
        <v>1</v>
      </c>
      <c r="H41" s="12">
        <v>1</v>
      </c>
      <c r="I41" s="12">
        <v>1</v>
      </c>
      <c r="J41" s="12"/>
      <c r="K41" s="12">
        <v>2</v>
      </c>
      <c r="L41" s="12">
        <v>171</v>
      </c>
      <c r="M41" s="12">
        <f>IF(K41=2,1,0)</f>
        <v>1</v>
      </c>
      <c r="N41" s="12">
        <v>7</v>
      </c>
      <c r="O41" s="12">
        <v>9</v>
      </c>
      <c r="P41" s="12">
        <v>5</v>
      </c>
      <c r="Q41" s="12">
        <v>8</v>
      </c>
      <c r="R41" s="12">
        <v>4</v>
      </c>
      <c r="S41" s="12">
        <f>IF(R41=4,1,0)</f>
        <v>1</v>
      </c>
      <c r="T41" s="12">
        <v>18</v>
      </c>
      <c r="U41" s="12">
        <v>0.06</v>
      </c>
      <c r="V41" s="12">
        <v>1</v>
      </c>
      <c r="W41" s="12">
        <v>7</v>
      </c>
      <c r="X41" s="12">
        <v>2000</v>
      </c>
      <c r="Y41" s="12">
        <f>IF(X41=2000,1,0)</f>
        <v>1</v>
      </c>
      <c r="Z41" s="12">
        <v>10</v>
      </c>
      <c r="AA41" s="12">
        <v>2524.9499999999998</v>
      </c>
      <c r="AB41" s="12">
        <f>IF(AA41=2524.95,1,0)</f>
        <v>1</v>
      </c>
      <c r="AC41" s="12">
        <v>35</v>
      </c>
      <c r="AD41" s="12">
        <v>1980.23</v>
      </c>
      <c r="AE41" s="12">
        <f>IF(AD41=1980.23,1,0)</f>
        <v>1</v>
      </c>
      <c r="AF41" s="12">
        <v>41</v>
      </c>
      <c r="AG41" s="12">
        <v>0</v>
      </c>
      <c r="AH41" s="12">
        <f>IF(AG41=1,1,0)</f>
        <v>0</v>
      </c>
      <c r="AI41" s="12">
        <v>4</v>
      </c>
      <c r="AJ41" s="12">
        <v>0</v>
      </c>
      <c r="AK41" s="12">
        <f>IF(AJ41=0,1,0)</f>
        <v>1</v>
      </c>
      <c r="AL41" s="12">
        <v>8</v>
      </c>
      <c r="AM41" s="12">
        <v>1</v>
      </c>
      <c r="AN41" s="12">
        <f>IF(AM41=0,1,0)</f>
        <v>0</v>
      </c>
      <c r="AO41" s="12">
        <v>12</v>
      </c>
      <c r="AP41" s="12">
        <v>2</v>
      </c>
      <c r="AQ41" s="12">
        <f>IF(AP41=0,1,0)</f>
        <v>0</v>
      </c>
      <c r="AR41" s="12">
        <v>3</v>
      </c>
      <c r="AS41" s="12">
        <v>1</v>
      </c>
      <c r="AT41" s="12">
        <f>IF(AS41=2,1,0)</f>
        <v>0</v>
      </c>
      <c r="AU41" s="12">
        <v>2</v>
      </c>
      <c r="AV41" s="12">
        <v>1</v>
      </c>
      <c r="AW41" s="12">
        <f>IF(AV41=1,1,0)</f>
        <v>1</v>
      </c>
      <c r="AX41" s="12">
        <v>7</v>
      </c>
      <c r="AY41" s="12">
        <v>3</v>
      </c>
      <c r="AZ41" s="12">
        <f>IF(AY41=3,1,0)</f>
        <v>1</v>
      </c>
      <c r="BA41" s="12">
        <v>2</v>
      </c>
      <c r="BB41" s="12">
        <v>2</v>
      </c>
      <c r="BC41" s="12">
        <f>IF(BB41=2,1,0)</f>
        <v>1</v>
      </c>
      <c r="BD41" s="12">
        <v>10</v>
      </c>
      <c r="BE41" s="12">
        <f>L41-BD41</f>
        <v>161</v>
      </c>
      <c r="BF41" s="12"/>
      <c r="BG41" s="12">
        <v>3</v>
      </c>
      <c r="BH41" s="12">
        <f>IF(BG41=2,1,0)</f>
        <v>0</v>
      </c>
      <c r="BI41" s="12">
        <v>10</v>
      </c>
      <c r="BJ41" s="12">
        <f>S41+V41+Y41+AB41+AE41+AH41+AK41+AN41+AQ41+AT41+AW41+AZ41+BC41+BH41</f>
        <v>9</v>
      </c>
      <c r="BK41" s="12">
        <f>T41+W41+Z41+AC41+AF41+AI41+AL41+AO41+AR41+AU41+AX41+BA41+BD41+BI41</f>
        <v>169</v>
      </c>
      <c r="BL41" s="12">
        <v>0</v>
      </c>
      <c r="BM41" s="12">
        <v>0</v>
      </c>
      <c r="BN41" s="12">
        <v>0</v>
      </c>
      <c r="BO41" s="12">
        <v>0</v>
      </c>
      <c r="BP41" s="12">
        <v>4</v>
      </c>
      <c r="BQ41" s="12">
        <v>4</v>
      </c>
      <c r="BR41" s="12">
        <v>4</v>
      </c>
      <c r="BS41" s="12">
        <v>4</v>
      </c>
      <c r="BT41" s="12">
        <v>4</v>
      </c>
      <c r="BU41" s="12">
        <v>4</v>
      </c>
      <c r="BV41" s="12">
        <v>4</v>
      </c>
      <c r="BW41" s="12">
        <v>4</v>
      </c>
      <c r="BX41" s="12">
        <v>4</v>
      </c>
      <c r="BY41" s="12">
        <v>4</v>
      </c>
      <c r="BZ41" s="12">
        <v>4</v>
      </c>
      <c r="CA41" s="12">
        <v>3</v>
      </c>
      <c r="CB41" s="12">
        <v>4</v>
      </c>
      <c r="CC41" s="12">
        <v>4</v>
      </c>
      <c r="CD41" s="12">
        <v>4</v>
      </c>
      <c r="CE41" s="12">
        <v>4</v>
      </c>
      <c r="CF41" s="12">
        <v>4</v>
      </c>
      <c r="CG41" s="12">
        <v>2</v>
      </c>
      <c r="CH41" s="12">
        <v>3</v>
      </c>
      <c r="CI41" s="12">
        <v>3</v>
      </c>
      <c r="CJ41" s="12">
        <v>4</v>
      </c>
      <c r="CK41" s="12">
        <v>4</v>
      </c>
      <c r="CL41" s="12">
        <v>4</v>
      </c>
      <c r="CM41" s="12">
        <v>4</v>
      </c>
      <c r="CN41" s="12">
        <v>3</v>
      </c>
      <c r="CO41" s="12">
        <v>3</v>
      </c>
    </row>
    <row r="42" spans="1:93" x14ac:dyDescent="0.25">
      <c r="A42" s="22" t="s">
        <v>352</v>
      </c>
      <c r="B42" s="22">
        <v>1</v>
      </c>
      <c r="C42" s="12">
        <v>24</v>
      </c>
      <c r="D42" s="12">
        <v>0</v>
      </c>
      <c r="E42" s="12">
        <v>1</v>
      </c>
      <c r="F42" s="12">
        <v>1</v>
      </c>
      <c r="G42" s="12">
        <v>2</v>
      </c>
      <c r="H42" s="12">
        <v>1</v>
      </c>
      <c r="I42" s="12">
        <v>0</v>
      </c>
      <c r="J42" s="12">
        <v>1</v>
      </c>
      <c r="K42" s="12">
        <v>1</v>
      </c>
      <c r="L42" s="12">
        <v>158</v>
      </c>
      <c r="M42" s="12">
        <f>IF(K42=2,1,0)</f>
        <v>0</v>
      </c>
      <c r="N42" s="12">
        <v>8</v>
      </c>
      <c r="O42" s="12">
        <v>9</v>
      </c>
      <c r="P42" s="12">
        <v>7</v>
      </c>
      <c r="Q42" s="12">
        <v>5</v>
      </c>
      <c r="R42" s="12">
        <v>4</v>
      </c>
      <c r="S42" s="12">
        <f>IF(R42=4,1,0)</f>
        <v>1</v>
      </c>
      <c r="T42" s="12">
        <v>98</v>
      </c>
      <c r="U42" s="12">
        <v>6</v>
      </c>
      <c r="V42" s="12">
        <f>IF(U42=6,1,0)</f>
        <v>1</v>
      </c>
      <c r="W42" s="12">
        <v>8</v>
      </c>
      <c r="X42" s="12">
        <v>2000</v>
      </c>
      <c r="Y42" s="12">
        <f>IF(X42=2000,1,0)</f>
        <v>1</v>
      </c>
      <c r="Z42" s="12">
        <v>10</v>
      </c>
      <c r="AA42" s="12">
        <v>1802000</v>
      </c>
      <c r="AB42" s="12">
        <f>IF(AA42=2524.95,1,0)</f>
        <v>0</v>
      </c>
      <c r="AC42" s="12">
        <v>30</v>
      </c>
      <c r="AD42" s="12">
        <v>1.04</v>
      </c>
      <c r="AE42" s="12">
        <f>IF(AD42=1980.23,1,0)</f>
        <v>0</v>
      </c>
      <c r="AF42" s="12">
        <v>82</v>
      </c>
      <c r="AG42" s="12">
        <v>0</v>
      </c>
      <c r="AH42" s="12">
        <f>IF(AG42=1,1,0)</f>
        <v>0</v>
      </c>
      <c r="AI42" s="12">
        <v>7</v>
      </c>
      <c r="AJ42" s="12">
        <v>0</v>
      </c>
      <c r="AK42" s="12">
        <f>IF(AJ42=0,1,0)</f>
        <v>1</v>
      </c>
      <c r="AL42" s="12">
        <v>16</v>
      </c>
      <c r="AM42" s="12">
        <v>3</v>
      </c>
      <c r="AN42" s="12">
        <f>IF(AM42=0,1,0)</f>
        <v>0</v>
      </c>
      <c r="AO42" s="12">
        <v>19</v>
      </c>
      <c r="AP42" s="12">
        <v>0</v>
      </c>
      <c r="AQ42" s="12">
        <f>IF(AP42=0,1,0)</f>
        <v>1</v>
      </c>
      <c r="AR42" s="12">
        <v>15</v>
      </c>
      <c r="AS42" s="12">
        <v>1</v>
      </c>
      <c r="AT42" s="12">
        <f>IF(AS42=2,1,0)</f>
        <v>0</v>
      </c>
      <c r="AU42" s="12">
        <v>20</v>
      </c>
      <c r="AV42" s="12">
        <v>1</v>
      </c>
      <c r="AW42" s="12">
        <f>IF(AV42=1,1,0)</f>
        <v>1</v>
      </c>
      <c r="AX42" s="12">
        <v>6</v>
      </c>
      <c r="AY42" s="12">
        <v>3</v>
      </c>
      <c r="AZ42" s="12">
        <f>IF(AY42=3,1,0)</f>
        <v>1</v>
      </c>
      <c r="BA42" s="12">
        <v>27</v>
      </c>
      <c r="BB42" s="12">
        <v>1</v>
      </c>
      <c r="BC42" s="12">
        <f>IF(BB42=2,1,0)</f>
        <v>0</v>
      </c>
      <c r="BD42" s="12">
        <v>70</v>
      </c>
      <c r="BE42" s="12">
        <f>L42-BD42</f>
        <v>88</v>
      </c>
      <c r="BF42" s="12"/>
      <c r="BG42" s="12">
        <v>3</v>
      </c>
      <c r="BH42" s="12">
        <f>IF(BG42=2,1,0)</f>
        <v>0</v>
      </c>
      <c r="BI42" s="12">
        <v>25</v>
      </c>
      <c r="BJ42" s="12">
        <f>S42+V42+Y42+AB42+AE42+AH42+AK42+AN42+AQ42+AT42+AW42+AZ42+BC42+BH42</f>
        <v>7</v>
      </c>
      <c r="BK42" s="12">
        <f>T42+W42+Z42+AC42+AF42+AI42+AL42+AO42+AR42+AU42+AX42+BA42+BD42+BI42</f>
        <v>433</v>
      </c>
      <c r="BL42" s="12">
        <v>3</v>
      </c>
      <c r="BM42" s="12">
        <v>1</v>
      </c>
      <c r="BN42" s="12">
        <v>1</v>
      </c>
      <c r="BO42" s="12">
        <v>1</v>
      </c>
      <c r="BP42" s="12">
        <v>3</v>
      </c>
      <c r="BQ42" s="12">
        <v>3</v>
      </c>
      <c r="BR42" s="12">
        <v>3</v>
      </c>
      <c r="BS42" s="12">
        <v>3</v>
      </c>
      <c r="BT42" s="12">
        <v>3</v>
      </c>
      <c r="BU42" s="12">
        <v>3</v>
      </c>
      <c r="BV42" s="12">
        <v>3</v>
      </c>
      <c r="BW42" s="12">
        <v>3</v>
      </c>
      <c r="BX42" s="12">
        <v>3</v>
      </c>
      <c r="BY42" s="12">
        <v>3</v>
      </c>
      <c r="BZ42" s="12">
        <v>3</v>
      </c>
      <c r="CA42" s="12">
        <v>3</v>
      </c>
      <c r="CB42" s="12">
        <v>3</v>
      </c>
      <c r="CC42" s="12">
        <v>3</v>
      </c>
      <c r="CD42" s="12">
        <v>3</v>
      </c>
      <c r="CE42" s="12">
        <v>3</v>
      </c>
      <c r="CF42" s="12">
        <v>3</v>
      </c>
      <c r="CG42" s="12">
        <v>3</v>
      </c>
      <c r="CH42" s="12">
        <v>3</v>
      </c>
      <c r="CI42" s="12">
        <v>0</v>
      </c>
      <c r="CJ42" s="12">
        <v>1</v>
      </c>
      <c r="CK42" s="12">
        <v>2</v>
      </c>
      <c r="CL42" s="12">
        <v>3</v>
      </c>
      <c r="CM42" s="12">
        <v>1</v>
      </c>
      <c r="CN42" s="12">
        <v>1</v>
      </c>
      <c r="CO42" s="12">
        <v>1</v>
      </c>
    </row>
    <row r="43" spans="1:93" x14ac:dyDescent="0.25">
      <c r="A43" s="22" t="s">
        <v>353</v>
      </c>
      <c r="B43" s="22">
        <v>1</v>
      </c>
      <c r="C43" s="12">
        <v>23</v>
      </c>
      <c r="D43" s="12">
        <v>0</v>
      </c>
      <c r="E43" s="12">
        <v>1</v>
      </c>
      <c r="F43" s="12">
        <v>0</v>
      </c>
      <c r="G43" s="12">
        <v>2</v>
      </c>
      <c r="H43" s="12">
        <v>6</v>
      </c>
      <c r="I43" s="12">
        <v>1</v>
      </c>
      <c r="J43" s="12"/>
      <c r="K43" s="12">
        <v>2</v>
      </c>
      <c r="L43" s="12">
        <v>174</v>
      </c>
      <c r="M43" s="12">
        <f>IF(K43=2,1,0)</f>
        <v>1</v>
      </c>
      <c r="N43" s="12">
        <v>6</v>
      </c>
      <c r="O43" s="12">
        <v>9</v>
      </c>
      <c r="P43" s="12">
        <v>4</v>
      </c>
      <c r="Q43" s="12">
        <v>8</v>
      </c>
      <c r="R43" s="12">
        <v>4</v>
      </c>
      <c r="S43" s="12">
        <f>IF(R43=4,1,0)</f>
        <v>1</v>
      </c>
      <c r="T43" s="12">
        <v>55</v>
      </c>
      <c r="U43" s="12">
        <v>6</v>
      </c>
      <c r="V43" s="12">
        <f>IF(U43=6,1,0)</f>
        <v>1</v>
      </c>
      <c r="W43" s="12">
        <v>7</v>
      </c>
      <c r="X43" s="12">
        <v>2000</v>
      </c>
      <c r="Y43" s="12">
        <f>IF(X43=2000,1,0)</f>
        <v>1</v>
      </c>
      <c r="Z43" s="12">
        <v>17</v>
      </c>
      <c r="AA43" s="12">
        <v>2500</v>
      </c>
      <c r="AB43" s="12">
        <f>IF(AA43=2524.95,1,0)</f>
        <v>0</v>
      </c>
      <c r="AC43" s="12">
        <v>4</v>
      </c>
      <c r="AD43" s="12">
        <v>1.04</v>
      </c>
      <c r="AE43" s="12">
        <f>IF(AD43=1980.23,1,0)</f>
        <v>0</v>
      </c>
      <c r="AF43" s="12">
        <v>124</v>
      </c>
      <c r="AG43" s="12">
        <v>1</v>
      </c>
      <c r="AH43" s="12">
        <f>IF(AG43=1,1,0)</f>
        <v>1</v>
      </c>
      <c r="AI43" s="12">
        <v>7</v>
      </c>
      <c r="AJ43" s="12">
        <v>0</v>
      </c>
      <c r="AK43" s="12">
        <f>IF(AJ43=0,1,0)</f>
        <v>1</v>
      </c>
      <c r="AL43" s="12">
        <v>13</v>
      </c>
      <c r="AM43" s="12">
        <v>0</v>
      </c>
      <c r="AN43" s="12">
        <f>IF(AM43=0,1,0)</f>
        <v>1</v>
      </c>
      <c r="AO43" s="12">
        <v>15</v>
      </c>
      <c r="AP43" s="12">
        <v>2</v>
      </c>
      <c r="AQ43" s="12">
        <f>IF(AP43=0,1,0)</f>
        <v>0</v>
      </c>
      <c r="AR43" s="12">
        <v>14</v>
      </c>
      <c r="AS43" s="12">
        <v>1</v>
      </c>
      <c r="AT43" s="12">
        <f>IF(AS43=2,1,0)</f>
        <v>0</v>
      </c>
      <c r="AU43" s="12">
        <v>10</v>
      </c>
      <c r="AV43" s="12">
        <v>1</v>
      </c>
      <c r="AW43" s="12">
        <f>IF(AV43=1,1,0)</f>
        <v>1</v>
      </c>
      <c r="AX43" s="12">
        <v>6</v>
      </c>
      <c r="AY43" s="12">
        <v>0</v>
      </c>
      <c r="AZ43" s="12">
        <f>IF(AY43=3,1,0)</f>
        <v>0</v>
      </c>
      <c r="BA43" s="12">
        <v>23</v>
      </c>
      <c r="BB43" s="12">
        <v>2</v>
      </c>
      <c r="BC43" s="12">
        <f>IF(BB43=2,1,0)</f>
        <v>1</v>
      </c>
      <c r="BD43" s="12">
        <v>80</v>
      </c>
      <c r="BE43" s="12">
        <f>L43-BD43</f>
        <v>94</v>
      </c>
      <c r="BF43" s="12"/>
      <c r="BG43" s="12">
        <v>0</v>
      </c>
      <c r="BH43" s="12">
        <f>IF(BG43=2,1,0)</f>
        <v>0</v>
      </c>
      <c r="BI43" s="12">
        <v>25</v>
      </c>
      <c r="BJ43" s="12">
        <f>S43+V43+Y43+AB43+AE43+AH43+AK43+AN43+AQ43+AT43+AW43+AZ43+BC43+BH43</f>
        <v>8</v>
      </c>
      <c r="BK43" s="12">
        <f>T43+W43+Z43+AC43+AF43+AI43+AL43+AO43+AR43+AU43+AX43+BA43+BD43+BI43</f>
        <v>400</v>
      </c>
      <c r="BL43" s="12">
        <v>3</v>
      </c>
      <c r="BM43" s="12">
        <v>2</v>
      </c>
      <c r="BN43" s="12">
        <v>4</v>
      </c>
      <c r="BO43" s="12">
        <v>3</v>
      </c>
      <c r="BP43" s="12">
        <v>3</v>
      </c>
      <c r="BQ43" s="12">
        <v>4</v>
      </c>
      <c r="BR43" s="12">
        <v>4</v>
      </c>
      <c r="BS43" s="12">
        <v>1</v>
      </c>
      <c r="BT43" s="12">
        <v>1</v>
      </c>
      <c r="BU43" s="12">
        <v>0</v>
      </c>
      <c r="BV43" s="12">
        <v>4</v>
      </c>
      <c r="BW43" s="12">
        <v>3</v>
      </c>
      <c r="BX43" s="12">
        <v>3</v>
      </c>
      <c r="BY43" s="12">
        <v>2</v>
      </c>
      <c r="BZ43" s="12">
        <v>1</v>
      </c>
      <c r="CA43" s="12">
        <v>2</v>
      </c>
      <c r="CB43" s="12">
        <v>2</v>
      </c>
      <c r="CC43" s="12">
        <v>2</v>
      </c>
      <c r="CD43" s="12">
        <v>3</v>
      </c>
      <c r="CE43" s="12">
        <v>3</v>
      </c>
      <c r="CF43" s="12">
        <v>3</v>
      </c>
      <c r="CG43" s="12">
        <v>3</v>
      </c>
      <c r="CH43" s="12">
        <v>2</v>
      </c>
      <c r="CI43" s="12">
        <v>1</v>
      </c>
      <c r="CJ43" s="12">
        <v>0</v>
      </c>
      <c r="CK43" s="12">
        <v>3</v>
      </c>
      <c r="CL43" s="12">
        <v>3</v>
      </c>
      <c r="CM43" s="12">
        <v>3</v>
      </c>
      <c r="CN43" s="12">
        <v>4</v>
      </c>
      <c r="CO43" s="12">
        <v>3</v>
      </c>
    </row>
    <row r="44" spans="1:93" x14ac:dyDescent="0.25">
      <c r="A44" s="22" t="s">
        <v>354</v>
      </c>
      <c r="B44" s="22">
        <v>1</v>
      </c>
      <c r="C44" s="12">
        <v>24</v>
      </c>
      <c r="D44" s="12">
        <v>0</v>
      </c>
      <c r="E44" s="12">
        <v>1</v>
      </c>
      <c r="F44" s="12">
        <v>0</v>
      </c>
      <c r="G44" s="12">
        <v>2</v>
      </c>
      <c r="H44" s="12">
        <v>4</v>
      </c>
      <c r="I44" s="12">
        <v>0</v>
      </c>
      <c r="J44" s="12">
        <v>0</v>
      </c>
      <c r="K44" s="12">
        <v>3</v>
      </c>
      <c r="L44" s="12">
        <v>2</v>
      </c>
      <c r="M44" s="12">
        <f>IF(K44=2,1,0)</f>
        <v>0</v>
      </c>
      <c r="N44" s="12">
        <v>8</v>
      </c>
      <c r="O44" s="12">
        <v>3</v>
      </c>
      <c r="P44" s="12">
        <v>10</v>
      </c>
      <c r="Q44" s="12">
        <v>9</v>
      </c>
      <c r="R44" s="12">
        <v>4</v>
      </c>
      <c r="S44" s="12">
        <f>IF(R44=4,1,0)</f>
        <v>1</v>
      </c>
      <c r="T44" s="12">
        <v>367</v>
      </c>
      <c r="U44" s="12">
        <v>4</v>
      </c>
      <c r="V44" s="12">
        <f>IF(U44=6,1,0)</f>
        <v>0</v>
      </c>
      <c r="W44" s="12">
        <v>49</v>
      </c>
      <c r="X44" s="12">
        <v>2000</v>
      </c>
      <c r="Y44" s="12">
        <f>IF(X44=2000,1,0)</f>
        <v>1</v>
      </c>
      <c r="Z44" s="12">
        <v>7</v>
      </c>
      <c r="AA44" s="12">
        <v>2500</v>
      </c>
      <c r="AB44" s="12">
        <f>IF(AA44=2524.95,1,0)</f>
        <v>0</v>
      </c>
      <c r="AC44" s="12">
        <v>9</v>
      </c>
      <c r="AD44" s="12">
        <v>2000</v>
      </c>
      <c r="AE44" s="12">
        <f>IF(AD44=1980.23,1,0)</f>
        <v>0</v>
      </c>
      <c r="AF44" s="12">
        <v>14</v>
      </c>
      <c r="AG44" s="12">
        <v>1</v>
      </c>
      <c r="AH44" s="12">
        <f>IF(AG44=1,1,0)</f>
        <v>1</v>
      </c>
      <c r="AI44" s="12">
        <v>8</v>
      </c>
      <c r="AJ44" s="12">
        <v>0</v>
      </c>
      <c r="AK44" s="12">
        <f>IF(AJ44=0,1,0)</f>
        <v>1</v>
      </c>
      <c r="AL44" s="12">
        <v>13</v>
      </c>
      <c r="AM44" s="12">
        <v>0</v>
      </c>
      <c r="AN44" s="12">
        <f>IF(AM44=0,1,0)</f>
        <v>1</v>
      </c>
      <c r="AO44" s="12">
        <v>27</v>
      </c>
      <c r="AP44" s="12">
        <v>2</v>
      </c>
      <c r="AQ44" s="12">
        <f>IF(AP44=0,1,0)</f>
        <v>0</v>
      </c>
      <c r="AR44" s="12">
        <v>22</v>
      </c>
      <c r="AS44" s="12">
        <v>2</v>
      </c>
      <c r="AT44" s="12">
        <f>IF(AS44=2,1,0)</f>
        <v>1</v>
      </c>
      <c r="AU44" s="12">
        <v>10</v>
      </c>
      <c r="AV44" s="12">
        <v>1</v>
      </c>
      <c r="AW44" s="12">
        <f>IF(AV44=1,1,0)</f>
        <v>1</v>
      </c>
      <c r="AX44" s="12">
        <v>5</v>
      </c>
      <c r="AY44" s="12">
        <v>3</v>
      </c>
      <c r="AZ44" s="12">
        <f>IF(AY44=3,1,0)</f>
        <v>1</v>
      </c>
      <c r="BA44" s="12">
        <v>18</v>
      </c>
      <c r="BB44" s="12">
        <v>3</v>
      </c>
      <c r="BC44" s="12">
        <f>IF(BB44=2,1,0)</f>
        <v>0</v>
      </c>
      <c r="BD44" s="12">
        <v>9</v>
      </c>
      <c r="BE44" s="12">
        <f>L44-BD44</f>
        <v>-7</v>
      </c>
      <c r="BF44" s="12"/>
      <c r="BG44" s="12">
        <v>1</v>
      </c>
      <c r="BH44" s="12">
        <f>IF(BG44=2,1,0)</f>
        <v>0</v>
      </c>
      <c r="BI44" s="12">
        <v>231</v>
      </c>
      <c r="BJ44" s="12">
        <f>S44+V44+Y44+AB44+AE44+AH44+AK44+AN44+AQ44+AT44+AW44+AZ44+BC44+BH44</f>
        <v>8</v>
      </c>
      <c r="BK44" s="12">
        <f>T44+W44+Z44+AC44+AF44+AI44+AL44+AO44+AR44+AU44+AX44+BA44+BD44+BI44</f>
        <v>789</v>
      </c>
      <c r="BL44" s="12">
        <v>4</v>
      </c>
      <c r="BM44" s="12">
        <v>3</v>
      </c>
      <c r="BN44" s="12">
        <v>3</v>
      </c>
      <c r="BO44" s="12">
        <v>2</v>
      </c>
      <c r="BP44" s="12">
        <v>3</v>
      </c>
      <c r="BQ44" s="12">
        <v>3</v>
      </c>
      <c r="BR44" s="12">
        <v>3</v>
      </c>
      <c r="BS44" s="12">
        <v>2</v>
      </c>
      <c r="BT44" s="12">
        <v>2</v>
      </c>
      <c r="BU44" s="12">
        <v>4</v>
      </c>
      <c r="BV44" s="12">
        <v>4</v>
      </c>
      <c r="BW44" s="12">
        <v>3</v>
      </c>
      <c r="BX44" s="12">
        <v>4</v>
      </c>
      <c r="BY44" s="12">
        <v>2</v>
      </c>
      <c r="BZ44" s="12">
        <v>4</v>
      </c>
      <c r="CA44" s="12">
        <v>3</v>
      </c>
      <c r="CB44" s="12">
        <v>3</v>
      </c>
      <c r="CC44" s="12">
        <v>2</v>
      </c>
      <c r="CD44" s="12">
        <v>4</v>
      </c>
      <c r="CE44" s="12">
        <v>2</v>
      </c>
      <c r="CF44" s="12">
        <v>3</v>
      </c>
      <c r="CG44" s="12">
        <v>3</v>
      </c>
      <c r="CH44" s="12">
        <v>2</v>
      </c>
      <c r="CI44" s="12">
        <v>2</v>
      </c>
      <c r="CJ44" s="12">
        <v>2</v>
      </c>
      <c r="CK44" s="12">
        <v>4</v>
      </c>
      <c r="CL44" s="12">
        <v>4</v>
      </c>
      <c r="CM44" s="12">
        <v>4</v>
      </c>
      <c r="CN44" s="12">
        <v>4</v>
      </c>
      <c r="CO44" s="12">
        <v>4</v>
      </c>
    </row>
    <row r="45" spans="1:93" x14ac:dyDescent="0.25">
      <c r="A45" s="22" t="s">
        <v>355</v>
      </c>
      <c r="B45" s="22">
        <v>1</v>
      </c>
      <c r="C45" s="12">
        <v>20</v>
      </c>
      <c r="D45" s="12">
        <v>0</v>
      </c>
      <c r="E45" s="12">
        <v>1</v>
      </c>
      <c r="F45" s="12">
        <v>0</v>
      </c>
      <c r="G45" s="12">
        <v>1</v>
      </c>
      <c r="H45" s="12">
        <v>1</v>
      </c>
      <c r="I45" s="12">
        <v>1</v>
      </c>
      <c r="J45" s="12"/>
      <c r="K45" s="12">
        <v>0</v>
      </c>
      <c r="L45" s="12">
        <v>13</v>
      </c>
      <c r="M45" s="12">
        <f>IF(K45=2,1,0)</f>
        <v>0</v>
      </c>
      <c r="N45" s="12">
        <v>8</v>
      </c>
      <c r="O45" s="12">
        <v>8</v>
      </c>
      <c r="P45" s="12">
        <v>7</v>
      </c>
      <c r="Q45" s="12">
        <v>4</v>
      </c>
      <c r="R45" s="12">
        <v>4</v>
      </c>
      <c r="S45" s="12">
        <f>IF(R45=4,1,0)</f>
        <v>1</v>
      </c>
      <c r="T45" s="12">
        <v>145</v>
      </c>
      <c r="U45" s="12">
        <v>6</v>
      </c>
      <c r="V45" s="12">
        <f>IF(U45=6,1,0)</f>
        <v>1</v>
      </c>
      <c r="W45" s="12">
        <v>14</v>
      </c>
      <c r="X45" s="12">
        <v>2000</v>
      </c>
      <c r="Y45" s="12">
        <f>IF(X45=2000,1,0)</f>
        <v>1</v>
      </c>
      <c r="Z45" s="12">
        <v>15</v>
      </c>
      <c r="AA45" s="12">
        <v>13109.2</v>
      </c>
      <c r="AB45" s="12">
        <f>IF(AA45=2524.95,1,0)</f>
        <v>0</v>
      </c>
      <c r="AC45" s="12">
        <v>66</v>
      </c>
      <c r="AD45" s="12">
        <v>1980.23</v>
      </c>
      <c r="AE45" s="12">
        <f>IF(AD45=1980.23,1,0)</f>
        <v>1</v>
      </c>
      <c r="AF45" s="12">
        <v>81</v>
      </c>
      <c r="AG45" s="12">
        <v>1</v>
      </c>
      <c r="AH45" s="12">
        <f>IF(AG45=1,1,0)</f>
        <v>1</v>
      </c>
      <c r="AI45" s="12">
        <v>69</v>
      </c>
      <c r="AJ45" s="12">
        <v>0</v>
      </c>
      <c r="AK45" s="12">
        <f>IF(AJ45=0,1,0)</f>
        <v>1</v>
      </c>
      <c r="AL45" s="12">
        <v>12</v>
      </c>
      <c r="AM45" s="12">
        <v>0</v>
      </c>
      <c r="AN45" s="12">
        <f>IF(AM45=0,1,0)</f>
        <v>1</v>
      </c>
      <c r="AO45" s="12">
        <v>13</v>
      </c>
      <c r="AP45" s="12">
        <v>1</v>
      </c>
      <c r="AQ45" s="12">
        <f>IF(AP45=0,1,0)</f>
        <v>0</v>
      </c>
      <c r="AR45" s="12">
        <v>26</v>
      </c>
      <c r="AS45" s="12">
        <v>2</v>
      </c>
      <c r="AT45" s="12">
        <f>IF(AS45=2,1,0)</f>
        <v>1</v>
      </c>
      <c r="AU45" s="12">
        <v>9</v>
      </c>
      <c r="AV45" s="12">
        <v>1</v>
      </c>
      <c r="AW45" s="12">
        <f>IF(AV45=1,1,0)</f>
        <v>1</v>
      </c>
      <c r="AX45" s="12">
        <v>7</v>
      </c>
      <c r="AY45" s="12">
        <v>3</v>
      </c>
      <c r="AZ45" s="12">
        <f>IF(AY45=3,1,0)</f>
        <v>1</v>
      </c>
      <c r="BA45" s="12">
        <v>42</v>
      </c>
      <c r="BB45" s="12">
        <v>2</v>
      </c>
      <c r="BC45" s="12">
        <f>IF(BB45=2,1,0)</f>
        <v>1</v>
      </c>
      <c r="BD45" s="12">
        <v>141</v>
      </c>
      <c r="BE45" s="12">
        <f>L45-BD45</f>
        <v>-128</v>
      </c>
      <c r="BF45" s="12"/>
      <c r="BG45" s="12">
        <v>2</v>
      </c>
      <c r="BH45" s="12">
        <f>IF(BG45=2,1,0)</f>
        <v>1</v>
      </c>
      <c r="BI45" s="12">
        <v>203</v>
      </c>
      <c r="BJ45" s="12">
        <f>S45+V45+Y45+AB45+AE45+AH45+AK45+AN45+AQ45+AT45+AW45+AZ45+BC45+BH45</f>
        <v>12</v>
      </c>
      <c r="BK45" s="12">
        <f>T45+W45+Z45+AC45+AF45+AI45+AL45+AO45+AR45+AU45+AX45+BA45+BD45+BI45</f>
        <v>843</v>
      </c>
      <c r="BL45" s="12">
        <v>4</v>
      </c>
      <c r="BM45" s="12">
        <v>3</v>
      </c>
      <c r="BN45" s="12">
        <v>3</v>
      </c>
      <c r="BO45" s="12">
        <v>3</v>
      </c>
      <c r="BP45" s="12">
        <v>4</v>
      </c>
      <c r="BQ45" s="12">
        <v>4</v>
      </c>
      <c r="BR45" s="12">
        <v>4</v>
      </c>
      <c r="BS45" s="12">
        <v>3</v>
      </c>
      <c r="BT45" s="12">
        <v>4</v>
      </c>
      <c r="BU45" s="12">
        <v>4</v>
      </c>
      <c r="BV45" s="12">
        <v>4</v>
      </c>
      <c r="BW45" s="12">
        <v>4</v>
      </c>
      <c r="BX45" s="12">
        <v>4</v>
      </c>
      <c r="BY45" s="12">
        <v>4</v>
      </c>
      <c r="BZ45" s="12">
        <v>4</v>
      </c>
      <c r="CA45" s="12">
        <v>4</v>
      </c>
      <c r="CB45" s="12">
        <v>4</v>
      </c>
      <c r="CC45" s="12">
        <v>3</v>
      </c>
      <c r="CD45" s="12">
        <v>3</v>
      </c>
      <c r="CE45" s="12">
        <v>4</v>
      </c>
      <c r="CF45" s="12">
        <v>4</v>
      </c>
      <c r="CG45" s="12">
        <v>2</v>
      </c>
      <c r="CH45" s="12">
        <v>3</v>
      </c>
      <c r="CI45" s="12">
        <v>4</v>
      </c>
      <c r="CJ45" s="12">
        <v>3</v>
      </c>
      <c r="CK45" s="12">
        <v>4</v>
      </c>
      <c r="CL45" s="12">
        <v>3</v>
      </c>
      <c r="CM45" s="12">
        <v>4</v>
      </c>
      <c r="CN45" s="12">
        <v>4</v>
      </c>
      <c r="CO45" s="12">
        <v>4</v>
      </c>
    </row>
    <row r="46" spans="1:93" x14ac:dyDescent="0.25">
      <c r="A46" s="22" t="s">
        <v>356</v>
      </c>
      <c r="B46" s="22">
        <v>1</v>
      </c>
      <c r="C46" s="12">
        <v>19</v>
      </c>
      <c r="D46" s="12">
        <v>1</v>
      </c>
      <c r="E46" s="12">
        <v>0</v>
      </c>
      <c r="F46" s="12">
        <v>1</v>
      </c>
      <c r="G46" s="12">
        <v>1</v>
      </c>
      <c r="H46" s="12">
        <v>1</v>
      </c>
      <c r="I46" s="12">
        <v>0</v>
      </c>
      <c r="J46" s="12">
        <v>1</v>
      </c>
      <c r="K46" s="12">
        <v>2</v>
      </c>
      <c r="L46" s="12">
        <v>24</v>
      </c>
      <c r="M46" s="12">
        <f>IF(K46=2,1,0)</f>
        <v>1</v>
      </c>
      <c r="N46" s="12">
        <v>5</v>
      </c>
      <c r="O46" s="12">
        <v>11</v>
      </c>
      <c r="P46" s="12">
        <v>6</v>
      </c>
      <c r="Q46" s="12">
        <v>8</v>
      </c>
      <c r="R46" s="12">
        <v>4</v>
      </c>
      <c r="S46" s="12">
        <f>IF(R46=4,1,0)</f>
        <v>1</v>
      </c>
      <c r="T46" s="12">
        <v>37</v>
      </c>
      <c r="U46" s="12">
        <v>0.06</v>
      </c>
      <c r="V46" s="12">
        <v>1</v>
      </c>
      <c r="W46" s="12">
        <v>7</v>
      </c>
      <c r="X46" s="12">
        <v>2000</v>
      </c>
      <c r="Y46" s="12">
        <f>IF(X46=2000,1,0)</f>
        <v>1</v>
      </c>
      <c r="Z46" s="12">
        <v>41</v>
      </c>
      <c r="AA46" s="12">
        <v>2524.9499999999998</v>
      </c>
      <c r="AB46" s="12">
        <f>IF(AA46=2524.95,1,0)</f>
        <v>1</v>
      </c>
      <c r="AC46" s="12">
        <v>32</v>
      </c>
      <c r="AD46" s="12">
        <v>1980.23</v>
      </c>
      <c r="AE46" s="12">
        <f>IF(AD46=1980.23,1,0)</f>
        <v>1</v>
      </c>
      <c r="AF46" s="12">
        <v>21</v>
      </c>
      <c r="AG46" s="12">
        <v>0</v>
      </c>
      <c r="AH46" s="12">
        <f>IF(AG46=1,1,0)</f>
        <v>0</v>
      </c>
      <c r="AI46" s="12">
        <v>62</v>
      </c>
      <c r="AJ46" s="12">
        <v>0</v>
      </c>
      <c r="AK46" s="12">
        <f>IF(AJ46=0,1,0)</f>
        <v>1</v>
      </c>
      <c r="AL46" s="12">
        <v>10</v>
      </c>
      <c r="AM46" s="12">
        <v>3</v>
      </c>
      <c r="AN46" s="12">
        <f>IF(AM46=0,1,0)</f>
        <v>0</v>
      </c>
      <c r="AO46" s="12">
        <v>27</v>
      </c>
      <c r="AP46" s="12">
        <v>2</v>
      </c>
      <c r="AQ46" s="12">
        <f>IF(AP46=0,1,0)</f>
        <v>0</v>
      </c>
      <c r="AR46" s="12">
        <v>23</v>
      </c>
      <c r="AS46" s="12">
        <v>1</v>
      </c>
      <c r="AT46" s="12">
        <f>IF(AS46=2,1,0)</f>
        <v>0</v>
      </c>
      <c r="AU46" s="12">
        <v>22</v>
      </c>
      <c r="AV46" s="12">
        <v>1</v>
      </c>
      <c r="AW46" s="12">
        <f>IF(AV46=1,1,0)</f>
        <v>1</v>
      </c>
      <c r="AX46" s="12">
        <v>6</v>
      </c>
      <c r="AY46" s="12">
        <v>0</v>
      </c>
      <c r="AZ46" s="12">
        <f>IF(AY46=3,1,0)</f>
        <v>0</v>
      </c>
      <c r="BA46" s="12">
        <v>23</v>
      </c>
      <c r="BB46" s="12">
        <v>2</v>
      </c>
      <c r="BC46" s="12">
        <f>IF(BB46=2,1,0)</f>
        <v>1</v>
      </c>
      <c r="BD46" s="12">
        <v>17</v>
      </c>
      <c r="BE46" s="12">
        <f>L46-BD46</f>
        <v>7</v>
      </c>
      <c r="BF46" s="12"/>
      <c r="BG46" s="12">
        <v>3</v>
      </c>
      <c r="BH46" s="12">
        <f>IF(BG46=2,1,0)</f>
        <v>0</v>
      </c>
      <c r="BI46" s="12">
        <v>30</v>
      </c>
      <c r="BJ46" s="12">
        <f>S46+V46+Y46+AB46+AE46+AH46+AK46+AN46+AQ46+AT46+AW46+AZ46+BC46+BH46</f>
        <v>8</v>
      </c>
      <c r="BK46" s="12">
        <f>T46+W46+Z46+AC46+AF46+AI46+AL46+AO46+AR46+AU46+AX46+BA46+BD46+BI46</f>
        <v>358</v>
      </c>
      <c r="BL46" s="12">
        <v>3</v>
      </c>
      <c r="BM46" s="12">
        <v>2</v>
      </c>
      <c r="BN46" s="12">
        <v>2</v>
      </c>
      <c r="BO46" s="12">
        <v>4</v>
      </c>
      <c r="BP46" s="12">
        <v>4</v>
      </c>
      <c r="BQ46" s="12">
        <v>3</v>
      </c>
      <c r="BR46" s="12">
        <v>1</v>
      </c>
      <c r="BS46" s="12">
        <v>3</v>
      </c>
      <c r="BT46" s="12">
        <v>3</v>
      </c>
      <c r="BU46" s="12">
        <v>4</v>
      </c>
      <c r="BV46" s="12">
        <v>4</v>
      </c>
      <c r="BW46" s="12">
        <v>4</v>
      </c>
      <c r="BX46" s="12">
        <v>4</v>
      </c>
      <c r="BY46" s="12">
        <v>4</v>
      </c>
      <c r="BZ46" s="12">
        <v>3</v>
      </c>
      <c r="CA46" s="12">
        <v>4</v>
      </c>
      <c r="CB46" s="12">
        <v>4</v>
      </c>
      <c r="CC46" s="12">
        <v>2</v>
      </c>
      <c r="CD46" s="12">
        <v>3</v>
      </c>
      <c r="CE46" s="12">
        <v>0</v>
      </c>
      <c r="CF46" s="12">
        <v>0</v>
      </c>
      <c r="CG46" s="12">
        <v>3</v>
      </c>
      <c r="CH46" s="12">
        <v>3</v>
      </c>
      <c r="CI46" s="12">
        <v>4</v>
      </c>
      <c r="CJ46" s="12">
        <v>3</v>
      </c>
      <c r="CK46" s="12">
        <v>2</v>
      </c>
      <c r="CL46" s="12">
        <v>3</v>
      </c>
      <c r="CM46" s="12">
        <v>3</v>
      </c>
      <c r="CN46" s="12">
        <v>3</v>
      </c>
      <c r="CO46" s="12">
        <v>2</v>
      </c>
    </row>
    <row r="47" spans="1:93" x14ac:dyDescent="0.25">
      <c r="A47" s="22" t="s">
        <v>357</v>
      </c>
      <c r="B47" s="22">
        <v>1</v>
      </c>
      <c r="C47" s="12">
        <v>35</v>
      </c>
      <c r="D47" s="12">
        <v>0</v>
      </c>
      <c r="E47" s="12">
        <v>1</v>
      </c>
      <c r="F47" s="12">
        <v>1</v>
      </c>
      <c r="G47" s="12">
        <v>2</v>
      </c>
      <c r="H47" s="12">
        <v>1</v>
      </c>
      <c r="I47" s="12">
        <v>0</v>
      </c>
      <c r="J47" s="12">
        <v>0</v>
      </c>
      <c r="K47" s="12">
        <v>2</v>
      </c>
      <c r="L47" s="12">
        <v>188</v>
      </c>
      <c r="M47" s="12">
        <f>IF(K47=2,1,0)</f>
        <v>1</v>
      </c>
      <c r="N47" s="12">
        <v>4</v>
      </c>
      <c r="O47" s="12">
        <v>9</v>
      </c>
      <c r="P47" s="12">
        <v>5</v>
      </c>
      <c r="Q47" s="12">
        <v>8</v>
      </c>
      <c r="R47" s="12">
        <v>4</v>
      </c>
      <c r="S47" s="12">
        <f>IF(R47=4,1,0)</f>
        <v>1</v>
      </c>
      <c r="T47" s="12">
        <v>50</v>
      </c>
      <c r="U47" s="12">
        <v>6</v>
      </c>
      <c r="V47" s="12">
        <f>IF(U47=6,1,0)</f>
        <v>1</v>
      </c>
      <c r="W47" s="12">
        <v>15</v>
      </c>
      <c r="X47" s="12">
        <v>2000</v>
      </c>
      <c r="Y47" s="12">
        <f>IF(X47=2000,1,0)</f>
        <v>1</v>
      </c>
      <c r="Z47" s="12">
        <v>61</v>
      </c>
      <c r="AA47" s="12">
        <v>2500</v>
      </c>
      <c r="AB47" s="12">
        <f>IF(AA47=2524.95,1,0)</f>
        <v>0</v>
      </c>
      <c r="AC47" s="12">
        <v>10</v>
      </c>
      <c r="AD47" s="12">
        <v>1980.23</v>
      </c>
      <c r="AE47" s="12">
        <f>IF(AD47=1980.23,1,0)</f>
        <v>1</v>
      </c>
      <c r="AF47" s="12">
        <v>204</v>
      </c>
      <c r="AG47" s="12">
        <v>0</v>
      </c>
      <c r="AH47" s="12">
        <f>IF(AG47=1,1,0)</f>
        <v>0</v>
      </c>
      <c r="AI47" s="12">
        <v>24</v>
      </c>
      <c r="AJ47" s="12">
        <v>0</v>
      </c>
      <c r="AK47" s="12">
        <f>IF(AJ47=0,1,0)</f>
        <v>1</v>
      </c>
      <c r="AL47" s="12">
        <v>16</v>
      </c>
      <c r="AM47" s="12">
        <v>1</v>
      </c>
      <c r="AN47" s="12">
        <f>IF(AM47=0,1,0)</f>
        <v>0</v>
      </c>
      <c r="AO47" s="12">
        <v>51</v>
      </c>
      <c r="AP47" s="12">
        <v>0</v>
      </c>
      <c r="AQ47" s="12">
        <f>IF(AP47=0,1,0)</f>
        <v>1</v>
      </c>
      <c r="AR47" s="12">
        <v>62</v>
      </c>
      <c r="AS47" s="12">
        <v>2</v>
      </c>
      <c r="AT47" s="12">
        <f>IF(AS47=2,1,0)</f>
        <v>1</v>
      </c>
      <c r="AU47" s="12">
        <v>55</v>
      </c>
      <c r="AV47" s="12">
        <v>1</v>
      </c>
      <c r="AW47" s="12">
        <f>IF(AV47=1,1,0)</f>
        <v>1</v>
      </c>
      <c r="AX47" s="12">
        <v>38</v>
      </c>
      <c r="AY47" s="12">
        <v>3</v>
      </c>
      <c r="AZ47" s="12">
        <f>IF(AY47=3,1,0)</f>
        <v>1</v>
      </c>
      <c r="BA47" s="12">
        <v>37</v>
      </c>
      <c r="BB47" s="12">
        <v>2</v>
      </c>
      <c r="BC47" s="12">
        <f>IF(BB47=2,1,0)</f>
        <v>1</v>
      </c>
      <c r="BD47" s="12">
        <v>23</v>
      </c>
      <c r="BE47" s="12">
        <f>L47-BD47</f>
        <v>165</v>
      </c>
      <c r="BF47" s="12"/>
      <c r="BG47" s="12">
        <v>2</v>
      </c>
      <c r="BH47" s="12">
        <f>IF(BG47=2,1,0)</f>
        <v>1</v>
      </c>
      <c r="BI47" s="12">
        <v>219</v>
      </c>
      <c r="BJ47" s="12">
        <f>S47+V47+Y47+AB47+AE47+AH47+AK47+AN47+AQ47+AT47+AW47+AZ47+BC47+BH47</f>
        <v>11</v>
      </c>
      <c r="BK47" s="12">
        <f>T47+W47+Z47+AC47+AF47+AI47+AL47+AO47+AR47+AU47+AX47+BA47+BD47+BI47</f>
        <v>865</v>
      </c>
      <c r="BL47" s="12">
        <v>4</v>
      </c>
      <c r="BM47" s="12">
        <v>4</v>
      </c>
      <c r="BN47" s="12">
        <v>3</v>
      </c>
      <c r="BO47" s="12">
        <v>4</v>
      </c>
      <c r="BP47" s="12">
        <v>4</v>
      </c>
      <c r="BQ47" s="12">
        <v>4</v>
      </c>
      <c r="BR47" s="12">
        <v>4</v>
      </c>
      <c r="BS47" s="12">
        <v>4</v>
      </c>
      <c r="BT47" s="12">
        <v>4</v>
      </c>
      <c r="BU47" s="12">
        <v>4</v>
      </c>
      <c r="BV47" s="12">
        <v>4</v>
      </c>
      <c r="BW47" s="12">
        <v>4</v>
      </c>
      <c r="BX47" s="12">
        <v>4</v>
      </c>
      <c r="BY47" s="12">
        <v>4</v>
      </c>
      <c r="BZ47" s="12">
        <v>4</v>
      </c>
      <c r="CA47" s="12">
        <v>4</v>
      </c>
      <c r="CB47" s="12">
        <v>4</v>
      </c>
      <c r="CC47" s="12">
        <v>4</v>
      </c>
      <c r="CD47" s="12">
        <v>4</v>
      </c>
      <c r="CE47" s="12">
        <v>4</v>
      </c>
      <c r="CF47" s="12">
        <v>4</v>
      </c>
      <c r="CG47" s="12">
        <v>4</v>
      </c>
      <c r="CH47" s="12">
        <v>4</v>
      </c>
      <c r="CI47" s="12">
        <v>4</v>
      </c>
      <c r="CJ47" s="12">
        <v>4</v>
      </c>
      <c r="CK47" s="12">
        <v>4</v>
      </c>
      <c r="CL47" s="12">
        <v>4</v>
      </c>
      <c r="CM47" s="12">
        <v>4</v>
      </c>
      <c r="CN47" s="12">
        <v>4</v>
      </c>
      <c r="CO47" s="12">
        <v>4</v>
      </c>
    </row>
    <row r="48" spans="1:93" x14ac:dyDescent="0.25">
      <c r="A48" s="22" t="s">
        <v>358</v>
      </c>
      <c r="B48" s="22">
        <v>1</v>
      </c>
      <c r="C48" s="12">
        <v>22</v>
      </c>
      <c r="D48" s="12">
        <v>0</v>
      </c>
      <c r="E48" s="12">
        <v>0</v>
      </c>
      <c r="F48" s="12">
        <v>1</v>
      </c>
      <c r="G48" s="12">
        <v>1</v>
      </c>
      <c r="H48" s="12">
        <v>0</v>
      </c>
      <c r="I48" s="12">
        <v>1</v>
      </c>
      <c r="J48" s="12"/>
      <c r="K48" s="12">
        <v>0</v>
      </c>
      <c r="L48" s="12">
        <v>31</v>
      </c>
      <c r="M48" s="12">
        <f>IF(K48=2,1,0)</f>
        <v>0</v>
      </c>
      <c r="N48" s="12">
        <v>6</v>
      </c>
      <c r="O48" s="12">
        <v>9</v>
      </c>
      <c r="P48" s="12">
        <v>7</v>
      </c>
      <c r="Q48" s="12">
        <v>9</v>
      </c>
      <c r="R48" s="12">
        <v>4</v>
      </c>
      <c r="S48" s="12">
        <f>IF(R48=4,1,0)</f>
        <v>1</v>
      </c>
      <c r="T48" s="12">
        <v>18</v>
      </c>
      <c r="U48" s="12">
        <v>6</v>
      </c>
      <c r="V48" s="12">
        <f>IF(U48=6,1,0)</f>
        <v>1</v>
      </c>
      <c r="W48" s="12">
        <v>11</v>
      </c>
      <c r="X48" s="12">
        <v>2000</v>
      </c>
      <c r="Y48" s="12">
        <f>IF(X48=2000,1,0)</f>
        <v>1</v>
      </c>
      <c r="Z48" s="12">
        <v>15</v>
      </c>
      <c r="AA48" s="12">
        <v>2525</v>
      </c>
      <c r="AB48" s="12">
        <f>IF(AA48=2524.95,1,0)</f>
        <v>0</v>
      </c>
      <c r="AC48" s="12">
        <v>102</v>
      </c>
      <c r="AD48" s="12">
        <v>500</v>
      </c>
      <c r="AE48" s="12">
        <f>IF(AD48=1980.23,1,0)</f>
        <v>0</v>
      </c>
      <c r="AF48" s="12">
        <v>30</v>
      </c>
      <c r="AG48" s="12">
        <v>0</v>
      </c>
      <c r="AH48" s="12">
        <f>IF(AG48=1,1,0)</f>
        <v>0</v>
      </c>
      <c r="AI48" s="12">
        <v>7</v>
      </c>
      <c r="AJ48" s="12">
        <v>0</v>
      </c>
      <c r="AK48" s="12">
        <f>IF(AJ48=0,1,0)</f>
        <v>1</v>
      </c>
      <c r="AL48" s="12">
        <v>14</v>
      </c>
      <c r="AM48" s="12">
        <v>0</v>
      </c>
      <c r="AN48" s="12">
        <f>IF(AM48=0,1,0)</f>
        <v>1</v>
      </c>
      <c r="AO48" s="12">
        <v>6</v>
      </c>
      <c r="AP48" s="12">
        <v>1</v>
      </c>
      <c r="AQ48" s="12">
        <f>IF(AP48=0,1,0)</f>
        <v>0</v>
      </c>
      <c r="AR48" s="12">
        <v>68</v>
      </c>
      <c r="AS48" s="12">
        <v>3</v>
      </c>
      <c r="AT48" s="12">
        <f>IF(AS48=2,1,0)</f>
        <v>0</v>
      </c>
      <c r="AU48" s="12">
        <v>6</v>
      </c>
      <c r="AV48" s="12">
        <v>1</v>
      </c>
      <c r="AW48" s="12">
        <f>IF(AV48=1,1,0)</f>
        <v>1</v>
      </c>
      <c r="AX48" s="12">
        <v>6</v>
      </c>
      <c r="AY48" s="12">
        <v>2</v>
      </c>
      <c r="AZ48" s="12">
        <f>IF(AY48=3,1,0)</f>
        <v>0</v>
      </c>
      <c r="BA48" s="12">
        <v>36</v>
      </c>
      <c r="BB48" s="12">
        <v>2</v>
      </c>
      <c r="BC48" s="12">
        <f>IF(BB48=2,1,0)</f>
        <v>1</v>
      </c>
      <c r="BD48" s="12">
        <v>42</v>
      </c>
      <c r="BE48" s="12">
        <f>L48-BD48</f>
        <v>-11</v>
      </c>
      <c r="BF48" s="12"/>
      <c r="BG48" s="12">
        <v>1</v>
      </c>
      <c r="BH48" s="12">
        <f>IF(BG48=2,1,0)</f>
        <v>0</v>
      </c>
      <c r="BI48" s="12">
        <v>19</v>
      </c>
      <c r="BJ48" s="12">
        <f>S48+V48+Y48+AB48+AE48+AH48+AK48+AN48+AQ48+AT48+AW48+AZ48+BC48+BH48</f>
        <v>7</v>
      </c>
      <c r="BK48" s="12">
        <f>T48+W48+Z48+AC48+AF48+AI48+AL48+AO48+AR48+AU48+AX48+BA48+BD48+BI48</f>
        <v>380</v>
      </c>
      <c r="BL48" s="12">
        <v>4</v>
      </c>
      <c r="BM48" s="12">
        <v>2</v>
      </c>
      <c r="BN48" s="12">
        <v>1</v>
      </c>
      <c r="BO48" s="12">
        <v>2</v>
      </c>
      <c r="BP48" s="12">
        <v>4</v>
      </c>
      <c r="BQ48" s="12">
        <v>4</v>
      </c>
      <c r="BR48" s="12">
        <v>4</v>
      </c>
      <c r="BS48" s="12">
        <v>4</v>
      </c>
      <c r="BT48" s="12">
        <v>4</v>
      </c>
      <c r="BU48" s="12">
        <v>4</v>
      </c>
      <c r="BV48" s="12">
        <v>4</v>
      </c>
      <c r="BW48" s="12">
        <v>3</v>
      </c>
      <c r="BX48" s="12">
        <v>4</v>
      </c>
      <c r="BY48" s="12">
        <v>4</v>
      </c>
      <c r="BZ48" s="12">
        <v>4</v>
      </c>
      <c r="CA48" s="12">
        <v>3</v>
      </c>
      <c r="CB48" s="12">
        <v>3</v>
      </c>
      <c r="CC48" s="12">
        <v>3</v>
      </c>
      <c r="CD48" s="12">
        <v>2</v>
      </c>
      <c r="CE48" s="12">
        <v>0</v>
      </c>
      <c r="CF48" s="12">
        <v>0</v>
      </c>
      <c r="CG48" s="12">
        <v>1</v>
      </c>
      <c r="CH48" s="12">
        <v>0</v>
      </c>
      <c r="CI48" s="12">
        <v>2</v>
      </c>
      <c r="CJ48" s="12">
        <v>0</v>
      </c>
      <c r="CK48" s="12">
        <v>3</v>
      </c>
      <c r="CL48" s="12">
        <v>3</v>
      </c>
      <c r="CM48" s="12">
        <v>3</v>
      </c>
      <c r="CN48" s="12">
        <v>2</v>
      </c>
      <c r="CO48" s="12">
        <v>2</v>
      </c>
    </row>
    <row r="49" spans="1:93" x14ac:dyDescent="0.25">
      <c r="A49" s="22" t="s">
        <v>359</v>
      </c>
      <c r="B49" s="22">
        <v>1</v>
      </c>
      <c r="C49" s="12">
        <v>27</v>
      </c>
      <c r="D49" s="12">
        <v>0</v>
      </c>
      <c r="E49" s="12">
        <v>1</v>
      </c>
      <c r="F49" s="12">
        <v>0</v>
      </c>
      <c r="G49" s="12">
        <v>2</v>
      </c>
      <c r="H49" s="12">
        <v>1</v>
      </c>
      <c r="I49" s="12">
        <v>0</v>
      </c>
      <c r="J49" s="12">
        <v>1</v>
      </c>
      <c r="K49" s="12">
        <v>1</v>
      </c>
      <c r="L49" s="12">
        <v>1</v>
      </c>
      <c r="M49" s="12">
        <f>IF(K49=2,1,0)</f>
        <v>0</v>
      </c>
      <c r="N49" s="12">
        <v>5</v>
      </c>
      <c r="O49" s="12">
        <v>9</v>
      </c>
      <c r="P49" s="12">
        <v>9</v>
      </c>
      <c r="Q49" s="12">
        <v>7</v>
      </c>
      <c r="R49" s="12">
        <v>19</v>
      </c>
      <c r="S49" s="12">
        <f>IF(R49=4,1,0)</f>
        <v>0</v>
      </c>
      <c r="T49" s="12">
        <v>107</v>
      </c>
      <c r="U49" s="12">
        <v>6</v>
      </c>
      <c r="V49" s="12">
        <f>IF(U49=6,1,0)</f>
        <v>1</v>
      </c>
      <c r="W49" s="12">
        <v>11</v>
      </c>
      <c r="X49" s="12">
        <v>2000</v>
      </c>
      <c r="Y49" s="12">
        <f>IF(X49=2000,1,0)</f>
        <v>1</v>
      </c>
      <c r="Z49" s="12">
        <v>7</v>
      </c>
      <c r="AA49" s="12">
        <v>2520</v>
      </c>
      <c r="AB49" s="12">
        <f>IF(AA49=2524.95,1,0)</f>
        <v>0</v>
      </c>
      <c r="AC49" s="12">
        <v>35</v>
      </c>
      <c r="AD49" s="12">
        <v>1981</v>
      </c>
      <c r="AE49" s="12">
        <v>1</v>
      </c>
      <c r="AF49" s="12">
        <v>9</v>
      </c>
      <c r="AG49" s="12">
        <v>1</v>
      </c>
      <c r="AH49" s="12">
        <f>IF(AG49=1,1,0)</f>
        <v>1</v>
      </c>
      <c r="AI49" s="12">
        <v>10</v>
      </c>
      <c r="AJ49" s="12">
        <v>2</v>
      </c>
      <c r="AK49" s="12">
        <f>IF(AJ49=0,1,0)</f>
        <v>0</v>
      </c>
      <c r="AL49" s="12">
        <v>13</v>
      </c>
      <c r="AM49" s="12">
        <v>3</v>
      </c>
      <c r="AN49" s="12">
        <f>IF(AM49=0,1,0)</f>
        <v>0</v>
      </c>
      <c r="AO49" s="12">
        <v>26</v>
      </c>
      <c r="AP49" s="12">
        <v>2</v>
      </c>
      <c r="AQ49" s="12">
        <f>IF(AP49=0,1,0)</f>
        <v>0</v>
      </c>
      <c r="AR49" s="12">
        <v>47</v>
      </c>
      <c r="AS49" s="12">
        <v>2</v>
      </c>
      <c r="AT49" s="12">
        <f>IF(AS49=2,1,0)</f>
        <v>1</v>
      </c>
      <c r="AU49" s="12">
        <v>32</v>
      </c>
      <c r="AV49" s="12">
        <v>1</v>
      </c>
      <c r="AW49" s="12">
        <f>IF(AV49=1,1,0)</f>
        <v>1</v>
      </c>
      <c r="AX49" s="12">
        <v>6</v>
      </c>
      <c r="AY49" s="12">
        <v>1</v>
      </c>
      <c r="AZ49" s="12">
        <f>IF(AY49=3,1,0)</f>
        <v>0</v>
      </c>
      <c r="BA49" s="12">
        <v>24</v>
      </c>
      <c r="BB49" s="12">
        <v>1</v>
      </c>
      <c r="BC49" s="12">
        <f>IF(BB49=2,1,0)</f>
        <v>0</v>
      </c>
      <c r="BD49" s="12">
        <v>57</v>
      </c>
      <c r="BE49" s="12">
        <f>L49-BD49</f>
        <v>-56</v>
      </c>
      <c r="BF49" s="12"/>
      <c r="BG49" s="12">
        <v>2</v>
      </c>
      <c r="BH49" s="12">
        <f>IF(BG49=2,1,0)</f>
        <v>1</v>
      </c>
      <c r="BI49" s="12">
        <v>81</v>
      </c>
      <c r="BJ49" s="12">
        <f>S49+V49+Y49+AB49+AE49+AH49+AK49+AN49+AQ49+AT49+AW49+AZ49+BC49+BH49</f>
        <v>7</v>
      </c>
      <c r="BK49" s="12">
        <f>T49+W49+Z49+AC49+AF49+AI49+AL49+AO49+AR49+AU49+AX49+BA49+BD49+BI49</f>
        <v>465</v>
      </c>
      <c r="BL49" s="12">
        <v>2</v>
      </c>
      <c r="BM49" s="12">
        <v>1</v>
      </c>
      <c r="BN49" s="12">
        <v>2</v>
      </c>
      <c r="BO49" s="12">
        <v>2</v>
      </c>
      <c r="BP49" s="12">
        <v>3</v>
      </c>
      <c r="BQ49" s="12">
        <v>3</v>
      </c>
      <c r="BR49" s="12">
        <v>2</v>
      </c>
      <c r="BS49" s="12">
        <v>2</v>
      </c>
      <c r="BT49" s="12">
        <v>2</v>
      </c>
      <c r="BU49" s="12">
        <v>3</v>
      </c>
      <c r="BV49" s="12">
        <v>4</v>
      </c>
      <c r="BW49" s="12">
        <v>2</v>
      </c>
      <c r="BX49" s="12">
        <v>3</v>
      </c>
      <c r="BY49" s="12">
        <v>1</v>
      </c>
      <c r="BZ49" s="12">
        <v>3</v>
      </c>
      <c r="CA49" s="12">
        <v>2</v>
      </c>
      <c r="CB49" s="12">
        <v>2</v>
      </c>
      <c r="CC49" s="12">
        <v>3</v>
      </c>
      <c r="CD49" s="12">
        <v>3</v>
      </c>
      <c r="CE49" s="12">
        <v>2</v>
      </c>
      <c r="CF49" s="12">
        <v>2</v>
      </c>
      <c r="CG49" s="12">
        <v>2</v>
      </c>
      <c r="CH49" s="12">
        <v>1</v>
      </c>
      <c r="CI49" s="12">
        <v>2</v>
      </c>
      <c r="CJ49" s="12">
        <v>1</v>
      </c>
      <c r="CK49" s="12">
        <v>3</v>
      </c>
      <c r="CL49" s="12">
        <v>3</v>
      </c>
      <c r="CM49" s="12">
        <v>3</v>
      </c>
      <c r="CN49" s="12">
        <v>2</v>
      </c>
      <c r="CO49" s="12">
        <v>3</v>
      </c>
    </row>
    <row r="50" spans="1:93" x14ac:dyDescent="0.25">
      <c r="A50" s="22" t="s">
        <v>360</v>
      </c>
      <c r="B50" s="22">
        <v>1</v>
      </c>
      <c r="C50" s="12">
        <v>31</v>
      </c>
      <c r="D50" s="12">
        <v>0</v>
      </c>
      <c r="E50" s="12">
        <v>0</v>
      </c>
      <c r="F50" s="12">
        <v>0</v>
      </c>
      <c r="G50" s="12">
        <v>4</v>
      </c>
      <c r="H50" s="12">
        <v>2</v>
      </c>
      <c r="I50" s="12">
        <v>0</v>
      </c>
      <c r="J50" s="12">
        <v>2</v>
      </c>
      <c r="K50" s="12">
        <v>2</v>
      </c>
      <c r="L50" s="12">
        <v>31</v>
      </c>
      <c r="M50" s="12">
        <f>IF(K50=2,1,0)</f>
        <v>1</v>
      </c>
      <c r="N50" s="12">
        <v>5</v>
      </c>
      <c r="O50" s="12">
        <v>4</v>
      </c>
      <c r="P50" s="12">
        <v>5</v>
      </c>
      <c r="Q50" s="12">
        <v>3</v>
      </c>
      <c r="R50" s="12">
        <v>4</v>
      </c>
      <c r="S50" s="12">
        <f>IF(R50=4,1,0)</f>
        <v>1</v>
      </c>
      <c r="T50" s="12">
        <v>8</v>
      </c>
      <c r="U50" s="12">
        <v>6</v>
      </c>
      <c r="V50" s="12">
        <f>IF(U50=6,1,0)</f>
        <v>1</v>
      </c>
      <c r="W50" s="12">
        <v>3</v>
      </c>
      <c r="X50" s="12">
        <v>1980.23</v>
      </c>
      <c r="Y50" s="12">
        <f>IF(X50=2000,1,0)</f>
        <v>0</v>
      </c>
      <c r="Z50" s="12">
        <v>14</v>
      </c>
      <c r="AA50" s="12">
        <v>2524.9499999999998</v>
      </c>
      <c r="AB50" s="12">
        <f>IF(AA50=2524.95,1,0)</f>
        <v>1</v>
      </c>
      <c r="AC50" s="12">
        <v>26</v>
      </c>
      <c r="AD50" s="12">
        <v>1980.23</v>
      </c>
      <c r="AE50" s="12">
        <f>IF(AD50=1980.23,1,0)</f>
        <v>1</v>
      </c>
      <c r="AF50" s="12">
        <v>19</v>
      </c>
      <c r="AG50" s="12">
        <v>1</v>
      </c>
      <c r="AH50" s="12">
        <f>IF(AG50=1,1,0)</f>
        <v>1</v>
      </c>
      <c r="AI50" s="12">
        <v>10</v>
      </c>
      <c r="AJ50" s="12">
        <v>0</v>
      </c>
      <c r="AK50" s="12">
        <f>IF(AJ50=0,1,0)</f>
        <v>1</v>
      </c>
      <c r="AL50" s="12">
        <v>12</v>
      </c>
      <c r="AM50" s="12">
        <v>0</v>
      </c>
      <c r="AN50" s="12">
        <f>IF(AM50=0,1,0)</f>
        <v>1</v>
      </c>
      <c r="AO50" s="12">
        <v>16</v>
      </c>
      <c r="AP50" s="12">
        <v>0</v>
      </c>
      <c r="AQ50" s="12">
        <f>IF(AP50=0,1,0)</f>
        <v>1</v>
      </c>
      <c r="AR50" s="12">
        <v>11</v>
      </c>
      <c r="AS50" s="12">
        <v>2</v>
      </c>
      <c r="AT50" s="12">
        <f>IF(AS50=2,1,0)</f>
        <v>1</v>
      </c>
      <c r="AU50" s="12">
        <v>13</v>
      </c>
      <c r="AV50" s="12">
        <v>1</v>
      </c>
      <c r="AW50" s="12">
        <f>IF(AV50=1,1,0)</f>
        <v>1</v>
      </c>
      <c r="AX50" s="12">
        <v>4</v>
      </c>
      <c r="AY50" s="12">
        <v>3</v>
      </c>
      <c r="AZ50" s="12">
        <f>IF(AY50=3,1,0)</f>
        <v>1</v>
      </c>
      <c r="BA50" s="12">
        <v>22</v>
      </c>
      <c r="BB50" s="12">
        <v>2</v>
      </c>
      <c r="BC50" s="12">
        <f>IF(BB50=2,1,0)</f>
        <v>1</v>
      </c>
      <c r="BD50" s="12">
        <v>17</v>
      </c>
      <c r="BE50" s="12">
        <f>L50-BD50</f>
        <v>14</v>
      </c>
      <c r="BF50" s="12"/>
      <c r="BG50" s="12">
        <v>2</v>
      </c>
      <c r="BH50" s="12">
        <f>IF(BG50=2,1,0)</f>
        <v>1</v>
      </c>
      <c r="BI50" s="12">
        <v>58</v>
      </c>
      <c r="BJ50" s="12">
        <f>S50+V50+Y50+AB50+AE50+AH50+AK50+AN50+AQ50+AT50+AW50+AZ50+BC50+BH50</f>
        <v>13</v>
      </c>
      <c r="BK50" s="12">
        <f>T50+W50+Z50+AC50+AF50+AI50+AL50+AO50+AR50+AU50+AX50+BA50+BD50+BI50</f>
        <v>233</v>
      </c>
      <c r="BL50" s="12">
        <v>3</v>
      </c>
      <c r="BM50" s="12">
        <v>4</v>
      </c>
      <c r="BN50" s="12">
        <v>4</v>
      </c>
      <c r="BO50" s="12">
        <v>4</v>
      </c>
      <c r="BP50" s="12">
        <v>4</v>
      </c>
      <c r="BQ50" s="12">
        <v>3</v>
      </c>
      <c r="BR50" s="12">
        <v>4</v>
      </c>
      <c r="BS50" s="12">
        <v>3</v>
      </c>
      <c r="BT50" s="12">
        <v>4</v>
      </c>
      <c r="BU50" s="12">
        <v>4</v>
      </c>
      <c r="BV50" s="12">
        <v>4</v>
      </c>
      <c r="BW50" s="12">
        <v>4</v>
      </c>
      <c r="BX50" s="12">
        <v>4</v>
      </c>
      <c r="BY50" s="12">
        <v>2</v>
      </c>
      <c r="BZ50" s="12">
        <v>4</v>
      </c>
      <c r="CA50" s="12">
        <v>3</v>
      </c>
      <c r="CB50" s="12">
        <v>3</v>
      </c>
      <c r="CC50" s="12">
        <v>3</v>
      </c>
      <c r="CD50" s="12">
        <v>1</v>
      </c>
      <c r="CE50" s="12">
        <v>2</v>
      </c>
      <c r="CF50" s="12">
        <v>4</v>
      </c>
      <c r="CG50" s="12">
        <v>4</v>
      </c>
      <c r="CH50" s="12">
        <v>4</v>
      </c>
      <c r="CI50" s="12">
        <v>4</v>
      </c>
      <c r="CJ50" s="12">
        <v>2</v>
      </c>
      <c r="CK50" s="12">
        <v>2</v>
      </c>
      <c r="CL50" s="12">
        <v>4</v>
      </c>
      <c r="CM50" s="12">
        <v>4</v>
      </c>
      <c r="CN50" s="12">
        <v>4</v>
      </c>
      <c r="CO50" s="12">
        <v>4</v>
      </c>
    </row>
    <row r="51" spans="1:93" x14ac:dyDescent="0.25">
      <c r="A51" s="22" t="s">
        <v>422</v>
      </c>
      <c r="B51" s="22">
        <v>1</v>
      </c>
      <c r="C51" s="12">
        <v>30</v>
      </c>
      <c r="D51" s="12">
        <v>1</v>
      </c>
      <c r="E51" s="12">
        <v>0</v>
      </c>
      <c r="F51" s="12">
        <v>1</v>
      </c>
      <c r="G51" s="12">
        <v>3</v>
      </c>
      <c r="H51" s="12">
        <v>1</v>
      </c>
      <c r="I51" s="12">
        <v>0</v>
      </c>
      <c r="J51" s="12">
        <v>1</v>
      </c>
      <c r="K51" s="12">
        <v>1</v>
      </c>
      <c r="L51" s="12">
        <v>32</v>
      </c>
      <c r="M51" s="12">
        <f>IF(K51=2,1,0)</f>
        <v>0</v>
      </c>
      <c r="N51" s="12">
        <v>5</v>
      </c>
      <c r="O51" s="12">
        <v>9</v>
      </c>
      <c r="P51" s="12">
        <v>6</v>
      </c>
      <c r="Q51" s="12">
        <v>9</v>
      </c>
      <c r="R51" s="12">
        <v>4</v>
      </c>
      <c r="S51" s="12">
        <f>IF(R51=4,1,0)</f>
        <v>1</v>
      </c>
      <c r="T51" s="12">
        <v>31</v>
      </c>
      <c r="U51" s="12">
        <v>6</v>
      </c>
      <c r="V51" s="12">
        <f>IF(U51=6,1,0)</f>
        <v>1</v>
      </c>
      <c r="W51" s="12">
        <v>5</v>
      </c>
      <c r="X51" s="12">
        <v>2000</v>
      </c>
      <c r="Y51" s="12">
        <f>IF(X51=2000,1,0)</f>
        <v>1</v>
      </c>
      <c r="Z51" s="12">
        <v>22</v>
      </c>
      <c r="AA51" s="12">
        <v>2025</v>
      </c>
      <c r="AB51" s="12">
        <f>IF(AA51=2524.95,1,0)</f>
        <v>0</v>
      </c>
      <c r="AC51" s="12">
        <v>102</v>
      </c>
      <c r="AD51" s="12">
        <v>1980.35</v>
      </c>
      <c r="AE51" s="12">
        <f>IF(AD51=1980.23,1,0)</f>
        <v>0</v>
      </c>
      <c r="AF51" s="12">
        <v>136</v>
      </c>
      <c r="AG51" s="12">
        <v>1</v>
      </c>
      <c r="AH51" s="12">
        <f>IF(AG51=1,1,0)</f>
        <v>1</v>
      </c>
      <c r="AI51" s="12">
        <v>9</v>
      </c>
      <c r="AJ51" s="12">
        <v>0</v>
      </c>
      <c r="AK51" s="12">
        <f>IF(AJ51=0,1,0)</f>
        <v>1</v>
      </c>
      <c r="AL51" s="12">
        <v>23</v>
      </c>
      <c r="AM51" s="12">
        <v>0</v>
      </c>
      <c r="AN51" s="12">
        <f>IF(AM51=0,1,0)</f>
        <v>1</v>
      </c>
      <c r="AO51" s="12">
        <v>41</v>
      </c>
      <c r="AP51" s="12">
        <v>2</v>
      </c>
      <c r="AQ51" s="12">
        <f>IF(AP51=0,1,0)</f>
        <v>0</v>
      </c>
      <c r="AR51" s="12">
        <v>37</v>
      </c>
      <c r="AS51" s="12">
        <v>2</v>
      </c>
      <c r="AT51" s="12">
        <f>IF(AS51=2,1,0)</f>
        <v>1</v>
      </c>
      <c r="AU51" s="12">
        <v>24</v>
      </c>
      <c r="AV51" s="12">
        <v>4</v>
      </c>
      <c r="AW51" s="12">
        <f>IF(AV51=1,1,0)</f>
        <v>0</v>
      </c>
      <c r="AX51" s="12">
        <v>8</v>
      </c>
      <c r="AY51" s="12">
        <v>0</v>
      </c>
      <c r="AZ51" s="12">
        <f>IF(AY51=3,1,0)</f>
        <v>0</v>
      </c>
      <c r="BA51" s="12">
        <v>66</v>
      </c>
      <c r="BB51" s="12">
        <v>2</v>
      </c>
      <c r="BC51" s="12">
        <f>IF(BB51=2,1,0)</f>
        <v>1</v>
      </c>
      <c r="BD51" s="12">
        <v>54</v>
      </c>
      <c r="BE51" s="12">
        <f>L51-BD51</f>
        <v>-22</v>
      </c>
      <c r="BF51" s="12"/>
      <c r="BG51" s="12">
        <v>2</v>
      </c>
      <c r="BH51" s="12">
        <f>IF(BG51=2,1,0)</f>
        <v>1</v>
      </c>
      <c r="BI51" s="12">
        <v>184</v>
      </c>
      <c r="BJ51" s="12">
        <f>S51+V51+Y51+AB51+AE51+AH51+AK51+AN51+AQ51+AT51+AW51+AZ51+BC51+BH51</f>
        <v>9</v>
      </c>
      <c r="BK51" s="12">
        <f>T51+W51+Z51+AC51+AF51+AI51+AL51+AO51+AR51+AU51+AX51+BA51+BD51+BI51</f>
        <v>742</v>
      </c>
      <c r="BL51" s="12">
        <v>4</v>
      </c>
      <c r="BM51" s="12">
        <v>4</v>
      </c>
      <c r="BN51" s="12">
        <v>4</v>
      </c>
      <c r="BO51" s="12">
        <v>4</v>
      </c>
      <c r="BP51" s="12">
        <v>3</v>
      </c>
      <c r="BQ51" s="12">
        <v>4</v>
      </c>
      <c r="BR51" s="12">
        <v>4</v>
      </c>
      <c r="BS51" s="12">
        <v>4</v>
      </c>
      <c r="BT51" s="12">
        <v>4</v>
      </c>
      <c r="BU51" s="12">
        <v>4</v>
      </c>
      <c r="BV51" s="12">
        <v>4</v>
      </c>
      <c r="BW51" s="12">
        <v>4</v>
      </c>
      <c r="BX51" s="12">
        <v>4</v>
      </c>
      <c r="BY51" s="12">
        <v>4</v>
      </c>
      <c r="BZ51" s="12">
        <v>4</v>
      </c>
      <c r="CA51" s="12">
        <v>4</v>
      </c>
      <c r="CB51" s="12">
        <v>4</v>
      </c>
      <c r="CC51" s="12">
        <v>2</v>
      </c>
      <c r="CD51" s="12">
        <v>3</v>
      </c>
      <c r="CE51" s="12">
        <v>4</v>
      </c>
      <c r="CF51" s="12">
        <v>4</v>
      </c>
      <c r="CG51" s="12">
        <v>3</v>
      </c>
      <c r="CH51" s="12">
        <v>3</v>
      </c>
      <c r="CI51" s="12">
        <v>4</v>
      </c>
      <c r="CJ51" s="12">
        <v>2</v>
      </c>
      <c r="CK51" s="12">
        <v>4</v>
      </c>
      <c r="CL51" s="12">
        <v>4</v>
      </c>
      <c r="CM51" s="12">
        <v>4</v>
      </c>
      <c r="CN51" s="12">
        <v>4</v>
      </c>
      <c r="CO51" s="12">
        <v>1</v>
      </c>
    </row>
    <row r="52" spans="1:93" x14ac:dyDescent="0.25">
      <c r="A52" s="22" t="s">
        <v>335</v>
      </c>
      <c r="B52" s="22">
        <v>1</v>
      </c>
      <c r="C52" s="12">
        <v>22</v>
      </c>
      <c r="D52" s="12">
        <v>0</v>
      </c>
      <c r="E52" s="12">
        <v>0</v>
      </c>
      <c r="F52" s="12">
        <v>1</v>
      </c>
      <c r="G52" s="12">
        <v>1</v>
      </c>
      <c r="H52" s="12">
        <v>5</v>
      </c>
      <c r="I52" s="12">
        <v>0</v>
      </c>
      <c r="J52" s="12">
        <v>0</v>
      </c>
      <c r="K52" s="12">
        <v>0</v>
      </c>
      <c r="L52" s="12">
        <v>17</v>
      </c>
      <c r="M52" s="12">
        <f>IF(K52=2,1,0)</f>
        <v>0</v>
      </c>
      <c r="N52" s="12">
        <v>4</v>
      </c>
      <c r="O52" s="12">
        <v>10</v>
      </c>
      <c r="P52" s="12">
        <v>10</v>
      </c>
      <c r="Q52" s="12">
        <v>6</v>
      </c>
      <c r="R52" s="12">
        <v>4</v>
      </c>
      <c r="S52" s="12">
        <f>IF(R52=4,1,0)</f>
        <v>1</v>
      </c>
      <c r="T52" s="12">
        <v>10</v>
      </c>
      <c r="U52" s="12">
        <v>6</v>
      </c>
      <c r="V52" s="12">
        <f>IF(U52=6,1,0)</f>
        <v>1</v>
      </c>
      <c r="W52" s="12">
        <v>3</v>
      </c>
      <c r="X52" s="12">
        <v>2000</v>
      </c>
      <c r="Y52" s="12">
        <f>IF(X52=2000,1,0)</f>
        <v>1</v>
      </c>
      <c r="Z52" s="12">
        <v>10</v>
      </c>
      <c r="AA52" s="12">
        <v>6700</v>
      </c>
      <c r="AB52" s="12">
        <f>IF(AA52=2524.95,1,0)</f>
        <v>0</v>
      </c>
      <c r="AC52" s="12">
        <v>8</v>
      </c>
      <c r="AD52" s="12">
        <v>888</v>
      </c>
      <c r="AE52" s="12">
        <f>IF(AD52=1980.23,1,0)</f>
        <v>0</v>
      </c>
      <c r="AF52" s="12">
        <v>4</v>
      </c>
      <c r="AG52" s="12">
        <v>1</v>
      </c>
      <c r="AH52" s="12">
        <f>IF(AG52=1,1,0)</f>
        <v>1</v>
      </c>
      <c r="AI52" s="12">
        <v>5</v>
      </c>
      <c r="AJ52" s="12">
        <v>0</v>
      </c>
      <c r="AK52" s="12">
        <f>IF(AJ52=0,1,0)</f>
        <v>1</v>
      </c>
      <c r="AL52" s="12">
        <v>6</v>
      </c>
      <c r="AM52" s="12">
        <v>1</v>
      </c>
      <c r="AN52" s="12">
        <f>IF(AM52=0,1,0)</f>
        <v>0</v>
      </c>
      <c r="AO52" s="12">
        <v>8</v>
      </c>
      <c r="AP52" s="12">
        <v>2</v>
      </c>
      <c r="AQ52" s="12">
        <f>IF(AP52=0,1,0)</f>
        <v>0</v>
      </c>
      <c r="AR52" s="12">
        <v>4</v>
      </c>
      <c r="AS52" s="12">
        <v>0</v>
      </c>
      <c r="AT52" s="12">
        <f>IF(AS52=2,1,0)</f>
        <v>0</v>
      </c>
      <c r="AU52" s="12">
        <v>7</v>
      </c>
      <c r="AV52" s="12">
        <v>1</v>
      </c>
      <c r="AW52" s="12">
        <f>IF(AV52=1,1,0)</f>
        <v>1</v>
      </c>
      <c r="AX52" s="12">
        <v>6</v>
      </c>
      <c r="AY52" s="12">
        <v>3</v>
      </c>
      <c r="AZ52" s="12">
        <f>IF(AY52=3,1,0)</f>
        <v>1</v>
      </c>
      <c r="BA52" s="12">
        <v>11</v>
      </c>
      <c r="BB52" s="12">
        <v>0</v>
      </c>
      <c r="BC52" s="12">
        <f>IF(BB52=2,1,0)</f>
        <v>0</v>
      </c>
      <c r="BD52" s="12">
        <v>80</v>
      </c>
      <c r="BE52" s="12">
        <f>L52-BD52</f>
        <v>-63</v>
      </c>
      <c r="BF52" s="12"/>
      <c r="BG52" s="12">
        <v>1</v>
      </c>
      <c r="BH52" s="12">
        <f>IF(BG52=2,1,0)</f>
        <v>0</v>
      </c>
      <c r="BI52" s="12">
        <v>3</v>
      </c>
      <c r="BJ52" s="12">
        <f>S52+V52+Y52+AB52+AE52+AH52+AK52+AN52+AQ52+AT52+AW52+AZ52+BC52+BH52</f>
        <v>7</v>
      </c>
      <c r="BK52" s="12">
        <f>T52+W52+Z52+AC52+AF52+AI52+AL52+AO52+AR52+AU52+AX52+BA52+BD52+BI52</f>
        <v>165</v>
      </c>
      <c r="BL52" s="12">
        <v>4</v>
      </c>
      <c r="BM52" s="12">
        <v>3</v>
      </c>
      <c r="BN52" s="12">
        <v>3</v>
      </c>
      <c r="BO52" s="12">
        <v>3</v>
      </c>
      <c r="BP52" s="12">
        <v>3</v>
      </c>
      <c r="BQ52" s="12">
        <v>3</v>
      </c>
      <c r="BR52" s="12">
        <v>3</v>
      </c>
      <c r="BS52" s="12">
        <v>3</v>
      </c>
      <c r="BT52" s="12">
        <v>3</v>
      </c>
      <c r="BU52" s="12">
        <v>3</v>
      </c>
      <c r="BV52" s="12">
        <v>3</v>
      </c>
      <c r="BW52" s="12">
        <v>4</v>
      </c>
      <c r="BX52" s="12">
        <v>4</v>
      </c>
      <c r="BY52" s="12">
        <v>3</v>
      </c>
      <c r="BZ52" s="12">
        <v>3</v>
      </c>
      <c r="CA52" s="12">
        <v>3</v>
      </c>
      <c r="CB52" s="12">
        <v>3</v>
      </c>
      <c r="CC52" s="12">
        <v>3</v>
      </c>
      <c r="CD52" s="12">
        <v>3</v>
      </c>
      <c r="CE52" s="12">
        <v>3</v>
      </c>
      <c r="CF52" s="12">
        <v>3</v>
      </c>
      <c r="CG52" s="12">
        <v>3</v>
      </c>
      <c r="CH52" s="12">
        <v>3</v>
      </c>
      <c r="CI52" s="12">
        <v>3</v>
      </c>
      <c r="CJ52" s="12">
        <v>2</v>
      </c>
      <c r="CK52" s="12">
        <v>3</v>
      </c>
      <c r="CL52" s="12">
        <v>3</v>
      </c>
      <c r="CM52" s="12">
        <v>3</v>
      </c>
      <c r="CN52" s="12">
        <v>3</v>
      </c>
      <c r="CO52" s="12">
        <v>3</v>
      </c>
    </row>
    <row r="53" spans="1:93" x14ac:dyDescent="0.25">
      <c r="A53" s="22" t="s">
        <v>423</v>
      </c>
      <c r="B53" s="22">
        <v>1</v>
      </c>
      <c r="C53" s="12">
        <v>52</v>
      </c>
      <c r="D53" s="12">
        <v>1</v>
      </c>
      <c r="E53" s="12">
        <v>0</v>
      </c>
      <c r="F53" s="12">
        <v>1</v>
      </c>
      <c r="G53" s="12">
        <v>3</v>
      </c>
      <c r="H53" s="12">
        <v>1</v>
      </c>
      <c r="I53" s="12">
        <v>1</v>
      </c>
      <c r="J53" s="12"/>
      <c r="K53" s="12">
        <v>2</v>
      </c>
      <c r="L53" s="12">
        <v>90</v>
      </c>
      <c r="M53" s="12">
        <f>IF(K53=2,1,0)</f>
        <v>1</v>
      </c>
      <c r="N53" s="12">
        <v>7</v>
      </c>
      <c r="O53" s="12">
        <v>6</v>
      </c>
      <c r="P53" s="12">
        <v>9</v>
      </c>
      <c r="Q53" s="12">
        <v>3</v>
      </c>
      <c r="R53" s="12">
        <v>4</v>
      </c>
      <c r="S53" s="12">
        <f>IF(R53=4,1,0)</f>
        <v>1</v>
      </c>
      <c r="T53" s="12">
        <v>9</v>
      </c>
      <c r="U53" s="12">
        <v>6</v>
      </c>
      <c r="V53" s="12">
        <f>IF(U53=6,1,0)</f>
        <v>1</v>
      </c>
      <c r="W53" s="12">
        <v>4</v>
      </c>
      <c r="X53" s="12">
        <v>2000</v>
      </c>
      <c r="Y53" s="12">
        <f>IF(X53=2000,1,0)</f>
        <v>1</v>
      </c>
      <c r="Z53" s="12">
        <v>5</v>
      </c>
      <c r="AA53" s="12">
        <v>2524.9499999999998</v>
      </c>
      <c r="AB53" s="12">
        <f>IF(AA53=2524.95,1,0)</f>
        <v>1</v>
      </c>
      <c r="AC53" s="12">
        <v>13</v>
      </c>
      <c r="AD53" s="12">
        <v>1980.23</v>
      </c>
      <c r="AE53" s="12">
        <f>IF(AD53=1980.23,1,0)</f>
        <v>1</v>
      </c>
      <c r="AF53" s="12">
        <v>9</v>
      </c>
      <c r="AG53" s="12">
        <v>1</v>
      </c>
      <c r="AH53" s="12">
        <f>IF(AG53=1,1,0)</f>
        <v>1</v>
      </c>
      <c r="AI53" s="12">
        <v>4</v>
      </c>
      <c r="AJ53" s="12">
        <v>0</v>
      </c>
      <c r="AK53" s="12">
        <f>IF(AJ53=0,1,0)</f>
        <v>1</v>
      </c>
      <c r="AL53" s="12">
        <v>9</v>
      </c>
      <c r="AM53" s="12">
        <v>1</v>
      </c>
      <c r="AN53" s="12">
        <f>IF(AM53=0,1,0)</f>
        <v>0</v>
      </c>
      <c r="AO53" s="12">
        <v>16</v>
      </c>
      <c r="AP53" s="12">
        <v>0</v>
      </c>
      <c r="AQ53" s="12">
        <f>IF(AP53=0,1,0)</f>
        <v>1</v>
      </c>
      <c r="AR53" s="12">
        <v>16</v>
      </c>
      <c r="AS53" s="12">
        <v>0</v>
      </c>
      <c r="AT53" s="12">
        <f>IF(AS53=2,1,0)</f>
        <v>0</v>
      </c>
      <c r="AU53" s="12">
        <v>15</v>
      </c>
      <c r="AV53" s="12">
        <v>1</v>
      </c>
      <c r="AW53" s="12">
        <f>IF(AV53=1,1,0)</f>
        <v>1</v>
      </c>
      <c r="AX53" s="12">
        <v>5</v>
      </c>
      <c r="AY53" s="12">
        <v>0</v>
      </c>
      <c r="AZ53" s="12">
        <f>IF(AY53=3,1,0)</f>
        <v>0</v>
      </c>
      <c r="BA53" s="12">
        <v>22</v>
      </c>
      <c r="BB53" s="12">
        <v>2</v>
      </c>
      <c r="BC53" s="12">
        <f>IF(BB53=2,1,0)</f>
        <v>1</v>
      </c>
      <c r="BD53" s="12">
        <v>10</v>
      </c>
      <c r="BE53" s="12">
        <f>L53-BD53</f>
        <v>80</v>
      </c>
      <c r="BF53" s="12"/>
      <c r="BG53" s="12">
        <v>0</v>
      </c>
      <c r="BH53" s="12">
        <f>IF(BG53=2,1,0)</f>
        <v>0</v>
      </c>
      <c r="BI53" s="12">
        <v>94</v>
      </c>
      <c r="BJ53" s="12">
        <f>S53+V53+Y53+AB53+AE53+AH53+AK53+AN53+AQ53+AT53+AW53+AZ53+BC53+BH53</f>
        <v>10</v>
      </c>
      <c r="BK53" s="12">
        <f>T53+W53+Z53+AC53+AF53+AI53+AL53+AO53+AR53+AU53+AX53+BA53+BD53+BI53</f>
        <v>231</v>
      </c>
      <c r="BL53" s="12">
        <v>3</v>
      </c>
      <c r="BM53" s="12">
        <v>3</v>
      </c>
      <c r="BN53" s="12">
        <v>3</v>
      </c>
      <c r="BO53" s="12">
        <v>3</v>
      </c>
      <c r="BP53" s="12">
        <v>3</v>
      </c>
      <c r="BQ53" s="12">
        <v>3</v>
      </c>
      <c r="BR53" s="12">
        <v>3</v>
      </c>
      <c r="BS53" s="12">
        <v>2</v>
      </c>
      <c r="BT53" s="12">
        <v>2</v>
      </c>
      <c r="BU53" s="12">
        <v>3</v>
      </c>
      <c r="BV53" s="12">
        <v>3</v>
      </c>
      <c r="BW53" s="12">
        <v>3</v>
      </c>
      <c r="BX53" s="12">
        <v>3</v>
      </c>
      <c r="BY53" s="12">
        <v>3</v>
      </c>
      <c r="BZ53" s="12">
        <v>3</v>
      </c>
      <c r="CA53" s="12">
        <v>3</v>
      </c>
      <c r="CB53" s="12">
        <v>2</v>
      </c>
      <c r="CC53" s="12">
        <v>2</v>
      </c>
      <c r="CD53" s="12">
        <v>3</v>
      </c>
      <c r="CE53" s="12">
        <v>1</v>
      </c>
      <c r="CF53" s="12">
        <v>3</v>
      </c>
      <c r="CG53" s="12">
        <v>3</v>
      </c>
      <c r="CH53" s="12">
        <v>3</v>
      </c>
      <c r="CI53" s="12">
        <v>3</v>
      </c>
      <c r="CJ53" s="12">
        <v>2</v>
      </c>
      <c r="CK53" s="12">
        <v>2</v>
      </c>
      <c r="CL53" s="12">
        <v>3</v>
      </c>
      <c r="CM53" s="12">
        <v>3</v>
      </c>
      <c r="CN53" s="12">
        <v>2</v>
      </c>
      <c r="CO53" s="12">
        <v>1</v>
      </c>
    </row>
    <row r="54" spans="1:93" x14ac:dyDescent="0.25">
      <c r="A54" s="37" t="s">
        <v>455</v>
      </c>
      <c r="B54" s="37">
        <v>1</v>
      </c>
      <c r="C54" s="35">
        <v>22</v>
      </c>
      <c r="D54" s="35">
        <v>0</v>
      </c>
      <c r="E54" s="35">
        <v>1</v>
      </c>
      <c r="F54" s="35">
        <v>1</v>
      </c>
      <c r="G54" s="35">
        <v>1</v>
      </c>
      <c r="H54" s="35">
        <v>1</v>
      </c>
      <c r="I54" s="35">
        <v>0</v>
      </c>
      <c r="J54" s="35">
        <v>0</v>
      </c>
      <c r="K54" s="35">
        <v>2</v>
      </c>
      <c r="L54" s="35"/>
      <c r="M54" s="35">
        <f>IF(K54=2,1,0)</f>
        <v>1</v>
      </c>
      <c r="N54" s="35">
        <v>4</v>
      </c>
      <c r="O54" s="35">
        <v>10</v>
      </c>
      <c r="P54" s="35">
        <v>7</v>
      </c>
      <c r="Q54" s="35">
        <v>4</v>
      </c>
      <c r="R54" s="35">
        <v>4</v>
      </c>
      <c r="S54" s="35">
        <f>IF(R54=4,1,0)</f>
        <v>1</v>
      </c>
      <c r="T54" s="35"/>
      <c r="U54" s="35">
        <v>6</v>
      </c>
      <c r="V54" s="35">
        <f>IF(U54=6,1,0)</f>
        <v>1</v>
      </c>
      <c r="W54" s="35"/>
      <c r="X54" s="35">
        <v>2524.9499999999998</v>
      </c>
      <c r="Y54" s="35">
        <f>IF(X54=2000,1,0)</f>
        <v>0</v>
      </c>
      <c r="Z54" s="35"/>
      <c r="AA54" s="35">
        <v>2524.9499999999998</v>
      </c>
      <c r="AB54" s="35">
        <f>IF(AA54=2524.95,1,0)</f>
        <v>1</v>
      </c>
      <c r="AC54" s="35"/>
      <c r="AD54" s="35">
        <v>1980.23</v>
      </c>
      <c r="AE54" s="35">
        <f>IF(AD54=1980.23,1,0)</f>
        <v>1</v>
      </c>
      <c r="AF54" s="35"/>
      <c r="AG54" s="35">
        <v>0</v>
      </c>
      <c r="AH54" s="35">
        <f>IF(AG54=1,1,0)</f>
        <v>0</v>
      </c>
      <c r="AI54" s="35"/>
      <c r="AJ54" s="35">
        <v>0</v>
      </c>
      <c r="AK54" s="35">
        <f>IF(AJ54=0,1,0)</f>
        <v>1</v>
      </c>
      <c r="AL54" s="35"/>
      <c r="AM54" s="35">
        <v>0</v>
      </c>
      <c r="AN54" s="35">
        <f>IF(AM54=0,1,0)</f>
        <v>1</v>
      </c>
      <c r="AO54" s="35"/>
      <c r="AP54" s="35">
        <v>0</v>
      </c>
      <c r="AQ54" s="35">
        <f>IF(AP54=0,1,0)</f>
        <v>1</v>
      </c>
      <c r="AR54" s="35"/>
      <c r="AS54" s="35">
        <v>0</v>
      </c>
      <c r="AT54" s="35">
        <f>IF(AS54=2,1,0)</f>
        <v>0</v>
      </c>
      <c r="AU54" s="35"/>
      <c r="AV54" s="35">
        <v>1</v>
      </c>
      <c r="AW54" s="35">
        <f>IF(AV54=1,1,0)</f>
        <v>1</v>
      </c>
      <c r="AX54" s="35"/>
      <c r="AY54" s="35">
        <v>3</v>
      </c>
      <c r="AZ54" s="35">
        <f>IF(AY54=3,1,0)</f>
        <v>1</v>
      </c>
      <c r="BA54" s="35"/>
      <c r="BB54" s="35">
        <v>2</v>
      </c>
      <c r="BC54" s="35">
        <f>IF(BB54=2,1,0)</f>
        <v>1</v>
      </c>
      <c r="BD54" s="35"/>
      <c r="BE54" s="35">
        <f>L54-BD54</f>
        <v>0</v>
      </c>
      <c r="BF54" s="35"/>
      <c r="BG54" s="35">
        <v>2</v>
      </c>
      <c r="BH54" s="35">
        <f>IF(BG54=2,1,0)</f>
        <v>1</v>
      </c>
      <c r="BI54" s="35"/>
      <c r="BJ54" s="35">
        <f>S54+V54+Y54+AB54+AE54+AH54+AK54+AN54+AQ54+AT54+AW54+AZ54+BC54+BH54</f>
        <v>11</v>
      </c>
      <c r="BK54" s="35">
        <f>T54+W54+Z54+AC54+AF54+AI54+AL54+AO54+AR54+AU54+AX54+BA54+BD54+BI54</f>
        <v>0</v>
      </c>
      <c r="BL54" s="35">
        <v>4</v>
      </c>
      <c r="BM54" s="35">
        <v>3</v>
      </c>
      <c r="BN54" s="35">
        <v>2</v>
      </c>
      <c r="BO54" s="35">
        <v>3</v>
      </c>
      <c r="BP54" s="35">
        <v>4</v>
      </c>
      <c r="BQ54" s="35">
        <v>3</v>
      </c>
      <c r="BR54" s="35">
        <v>4</v>
      </c>
      <c r="BS54" s="35">
        <v>3</v>
      </c>
      <c r="BT54" s="35">
        <v>3</v>
      </c>
      <c r="BU54" s="35">
        <v>4</v>
      </c>
      <c r="BV54" s="35">
        <v>4</v>
      </c>
      <c r="BW54" s="35">
        <v>2</v>
      </c>
      <c r="BX54" s="35">
        <v>3</v>
      </c>
      <c r="BY54" s="35">
        <v>1</v>
      </c>
      <c r="BZ54" s="35">
        <v>1</v>
      </c>
      <c r="CA54" s="35">
        <v>2</v>
      </c>
      <c r="CB54" s="35">
        <v>2</v>
      </c>
      <c r="CC54" s="35">
        <v>3</v>
      </c>
      <c r="CD54" s="35">
        <v>4</v>
      </c>
      <c r="CE54" s="35">
        <v>2</v>
      </c>
      <c r="CF54" s="35">
        <v>3</v>
      </c>
      <c r="CG54" s="35">
        <v>2</v>
      </c>
      <c r="CH54" s="35">
        <v>2</v>
      </c>
      <c r="CI54" s="35">
        <v>4</v>
      </c>
      <c r="CJ54" s="35">
        <v>2</v>
      </c>
      <c r="CK54" s="35">
        <v>2</v>
      </c>
      <c r="CL54" s="35">
        <v>4</v>
      </c>
      <c r="CM54" s="35">
        <v>4</v>
      </c>
      <c r="CN54" s="35">
        <v>3</v>
      </c>
      <c r="CO54" s="35">
        <v>4</v>
      </c>
    </row>
    <row r="55" spans="1:93" x14ac:dyDescent="0.25">
      <c r="A55" s="37" t="s">
        <v>456</v>
      </c>
      <c r="B55" s="37">
        <v>1</v>
      </c>
      <c r="C55" s="35">
        <v>39</v>
      </c>
      <c r="D55" s="35">
        <v>0</v>
      </c>
      <c r="E55" s="35">
        <v>1</v>
      </c>
      <c r="F55" s="35">
        <v>0</v>
      </c>
      <c r="G55" s="35">
        <v>3</v>
      </c>
      <c r="H55" s="35">
        <v>6</v>
      </c>
      <c r="I55" s="35">
        <v>1</v>
      </c>
      <c r="J55" s="35"/>
      <c r="K55" s="35">
        <v>2</v>
      </c>
      <c r="L55" s="35"/>
      <c r="M55" s="35">
        <f>IF(K55=2,1,0)</f>
        <v>1</v>
      </c>
      <c r="N55" s="35">
        <v>5</v>
      </c>
      <c r="O55" s="35">
        <v>4</v>
      </c>
      <c r="P55" s="35">
        <v>5</v>
      </c>
      <c r="Q55" s="35">
        <v>5</v>
      </c>
      <c r="R55" s="35">
        <v>4</v>
      </c>
      <c r="S55" s="35">
        <f>IF(R55=4,1,0)</f>
        <v>1</v>
      </c>
      <c r="T55" s="35"/>
      <c r="U55" s="35">
        <v>6</v>
      </c>
      <c r="V55" s="35">
        <f>IF(U55=6,1,0)</f>
        <v>1</v>
      </c>
      <c r="W55" s="35"/>
      <c r="X55" s="35">
        <v>2000</v>
      </c>
      <c r="Y55" s="35">
        <f>IF(X55=2000,1,0)</f>
        <v>1</v>
      </c>
      <c r="Z55" s="35"/>
      <c r="AA55" s="35">
        <v>2524.9499999999998</v>
      </c>
      <c r="AB55" s="35">
        <f>IF(AA55=2524.95,1,0)</f>
        <v>1</v>
      </c>
      <c r="AC55" s="35"/>
      <c r="AD55" s="35">
        <v>1980.23</v>
      </c>
      <c r="AE55" s="35">
        <f>IF(AD55=1980.23,1,0)</f>
        <v>1</v>
      </c>
      <c r="AF55" s="35"/>
      <c r="AG55" s="35">
        <v>1</v>
      </c>
      <c r="AH55" s="35">
        <f>IF(AG55=1,1,0)</f>
        <v>1</v>
      </c>
      <c r="AI55" s="35"/>
      <c r="AJ55" s="35">
        <v>0</v>
      </c>
      <c r="AK55" s="35">
        <f>IF(AJ55=0,1,0)</f>
        <v>1</v>
      </c>
      <c r="AL55" s="35"/>
      <c r="AM55" s="35">
        <v>0</v>
      </c>
      <c r="AN55" s="35">
        <f>IF(AM55=0,1,0)</f>
        <v>1</v>
      </c>
      <c r="AO55" s="35"/>
      <c r="AP55" s="35">
        <v>3</v>
      </c>
      <c r="AQ55" s="35">
        <f>IF(AP55=0,1,0)</f>
        <v>0</v>
      </c>
      <c r="AR55" s="35"/>
      <c r="AS55" s="35">
        <v>3</v>
      </c>
      <c r="AT55" s="35">
        <f>IF(AS55=2,1,0)</f>
        <v>0</v>
      </c>
      <c r="AU55" s="35"/>
      <c r="AV55" s="35">
        <v>1</v>
      </c>
      <c r="AW55" s="35">
        <f>IF(AV55=1,1,0)</f>
        <v>1</v>
      </c>
      <c r="AX55" s="35"/>
      <c r="AY55" s="35">
        <v>3</v>
      </c>
      <c r="AZ55" s="35">
        <f>IF(AY55=3,1,0)</f>
        <v>1</v>
      </c>
      <c r="BA55" s="35"/>
      <c r="BB55" s="35">
        <v>2</v>
      </c>
      <c r="BC55" s="35">
        <f>IF(BB55=2,1,0)</f>
        <v>1</v>
      </c>
      <c r="BD55" s="35"/>
      <c r="BE55" s="35">
        <f>L55-BD55</f>
        <v>0</v>
      </c>
      <c r="BF55" s="35"/>
      <c r="BG55" s="35">
        <v>0</v>
      </c>
      <c r="BH55" s="35">
        <f>IF(BG55=2,1,0)</f>
        <v>0</v>
      </c>
      <c r="BI55" s="35"/>
      <c r="BJ55" s="35">
        <f>S55+V55+Y55+AB55+AE55+AH55+AK55+AN55+AQ55+AT55+AW55+AZ55+BC55+BH55</f>
        <v>11</v>
      </c>
      <c r="BK55" s="35">
        <f>T55+W55+Z55+AC55+AF55+AI55+AL55+AO55+AR55+AU55+AX55+BA55+BD55+BI55</f>
        <v>0</v>
      </c>
      <c r="BL55" s="35">
        <v>4</v>
      </c>
      <c r="BM55" s="35">
        <v>2</v>
      </c>
      <c r="BN55" s="35">
        <v>1</v>
      </c>
      <c r="BO55" s="35">
        <v>2</v>
      </c>
      <c r="BP55" s="35">
        <v>3</v>
      </c>
      <c r="BQ55" s="35">
        <v>3</v>
      </c>
      <c r="BR55" s="35">
        <v>3</v>
      </c>
      <c r="BS55" s="35">
        <v>3</v>
      </c>
      <c r="BT55" s="35">
        <v>3</v>
      </c>
      <c r="BU55" s="35">
        <v>4</v>
      </c>
      <c r="BV55" s="35">
        <v>4</v>
      </c>
      <c r="BW55" s="35">
        <v>4</v>
      </c>
      <c r="BX55" s="35">
        <v>4</v>
      </c>
      <c r="BY55" s="35">
        <v>3</v>
      </c>
      <c r="BZ55" s="35">
        <v>2</v>
      </c>
      <c r="CA55" s="35">
        <v>3</v>
      </c>
      <c r="CB55" s="35">
        <v>2</v>
      </c>
      <c r="CC55" s="35">
        <v>2</v>
      </c>
      <c r="CD55" s="35">
        <v>3</v>
      </c>
      <c r="CE55" s="35">
        <v>0</v>
      </c>
      <c r="CF55" s="35">
        <v>2</v>
      </c>
      <c r="CG55" s="35">
        <v>1</v>
      </c>
      <c r="CH55" s="35">
        <v>1</v>
      </c>
      <c r="CI55" s="35">
        <v>2</v>
      </c>
      <c r="CJ55" s="35">
        <v>3</v>
      </c>
      <c r="CK55" s="35">
        <v>3</v>
      </c>
      <c r="CL55" s="35">
        <v>3</v>
      </c>
      <c r="CM55" s="35">
        <v>3</v>
      </c>
      <c r="CN55" s="35">
        <v>3</v>
      </c>
      <c r="CO55" s="35">
        <v>2</v>
      </c>
    </row>
    <row r="56" spans="1:93" x14ac:dyDescent="0.25">
      <c r="A56" s="37" t="s">
        <v>457</v>
      </c>
      <c r="B56" s="37">
        <v>1</v>
      </c>
      <c r="C56" s="35">
        <v>48</v>
      </c>
      <c r="D56" s="35">
        <v>1</v>
      </c>
      <c r="E56" s="35">
        <v>0</v>
      </c>
      <c r="F56" s="35">
        <v>0</v>
      </c>
      <c r="G56" s="35">
        <v>1</v>
      </c>
      <c r="H56" s="35">
        <v>0</v>
      </c>
      <c r="I56" s="35">
        <v>0</v>
      </c>
      <c r="J56" s="35">
        <v>1</v>
      </c>
      <c r="K56" s="35">
        <v>2</v>
      </c>
      <c r="L56" s="35"/>
      <c r="M56" s="35">
        <f>IF(K56=2,1,0)</f>
        <v>1</v>
      </c>
      <c r="N56" s="35">
        <v>4</v>
      </c>
      <c r="O56" s="35">
        <v>9</v>
      </c>
      <c r="P56" s="35">
        <v>5</v>
      </c>
      <c r="Q56" s="35">
        <v>4</v>
      </c>
      <c r="R56" s="35">
        <v>4</v>
      </c>
      <c r="S56" s="35">
        <f>IF(R56=4,1,0)</f>
        <v>1</v>
      </c>
      <c r="T56" s="35"/>
      <c r="U56" s="35">
        <v>6</v>
      </c>
      <c r="V56" s="35">
        <f>IF(U56=6,1,0)</f>
        <v>1</v>
      </c>
      <c r="W56" s="35"/>
      <c r="X56" s="35">
        <v>1980.23</v>
      </c>
      <c r="Y56" s="35">
        <f>IF(X56=2000,1,0)</f>
        <v>0</v>
      </c>
      <c r="Z56" s="35"/>
      <c r="AA56" s="35">
        <v>2524</v>
      </c>
      <c r="AB56" s="35">
        <v>1</v>
      </c>
      <c r="AC56" s="35"/>
      <c r="AD56" s="35">
        <v>1980.23</v>
      </c>
      <c r="AE56" s="35">
        <f>IF(AD56=1980.23,1,0)</f>
        <v>1</v>
      </c>
      <c r="AF56" s="35"/>
      <c r="AG56" s="35">
        <v>0</v>
      </c>
      <c r="AH56" s="35">
        <f>IF(AG56=1,1,0)</f>
        <v>0</v>
      </c>
      <c r="AI56" s="35"/>
      <c r="AJ56" s="35">
        <v>0</v>
      </c>
      <c r="AK56" s="35">
        <f>IF(AJ56=0,1,0)</f>
        <v>1</v>
      </c>
      <c r="AL56" s="35"/>
      <c r="AM56" s="35">
        <v>0</v>
      </c>
      <c r="AN56" s="35">
        <f>IF(AM56=0,1,0)</f>
        <v>1</v>
      </c>
      <c r="AO56" s="35"/>
      <c r="AP56" s="35">
        <v>3</v>
      </c>
      <c r="AQ56" s="35">
        <f>IF(AP56=0,1,0)</f>
        <v>0</v>
      </c>
      <c r="AR56" s="35"/>
      <c r="AS56" s="35">
        <v>2</v>
      </c>
      <c r="AT56" s="35">
        <f>IF(AS56=2,1,0)</f>
        <v>1</v>
      </c>
      <c r="AU56" s="35"/>
      <c r="AV56" s="35">
        <v>1</v>
      </c>
      <c r="AW56" s="35">
        <f>IF(AV56=1,1,0)</f>
        <v>1</v>
      </c>
      <c r="AX56" s="35"/>
      <c r="AY56" s="35">
        <v>3</v>
      </c>
      <c r="AZ56" s="35">
        <f>IF(AY56=3,1,0)</f>
        <v>1</v>
      </c>
      <c r="BA56" s="35"/>
      <c r="BB56" s="35">
        <v>2</v>
      </c>
      <c r="BC56" s="35">
        <f>IF(BB56=2,1,0)</f>
        <v>1</v>
      </c>
      <c r="BD56" s="35"/>
      <c r="BE56" s="35">
        <f>L56-BD56</f>
        <v>0</v>
      </c>
      <c r="BF56" s="35"/>
      <c r="BG56" s="35">
        <v>2</v>
      </c>
      <c r="BH56" s="35">
        <f>IF(BG56=2,1,0)</f>
        <v>1</v>
      </c>
      <c r="BI56" s="35"/>
      <c r="BJ56" s="35">
        <f>S56+V56+Y56+AB56+AE56+AH56+AK56+AN56+AQ56+AT56+AW56+AZ56+BC56+BH56</f>
        <v>11</v>
      </c>
      <c r="BK56" s="35">
        <f>T56+W56+Z56+AC56+AF56+AI56+AL56+AO56+AR56+AU56+AX56+BA56+BD56+BI56</f>
        <v>0</v>
      </c>
      <c r="BL56" s="35">
        <v>2</v>
      </c>
      <c r="BM56" s="35">
        <v>1</v>
      </c>
      <c r="BN56" s="35">
        <v>2</v>
      </c>
      <c r="BO56" s="35">
        <v>2</v>
      </c>
      <c r="BP56" s="35">
        <v>3</v>
      </c>
      <c r="BQ56" s="35">
        <v>3</v>
      </c>
      <c r="BR56" s="35">
        <v>3</v>
      </c>
      <c r="BS56" s="35">
        <v>1</v>
      </c>
      <c r="BT56" s="35">
        <v>1</v>
      </c>
      <c r="BU56" s="35">
        <v>4</v>
      </c>
      <c r="BV56" s="35">
        <v>4</v>
      </c>
      <c r="BW56" s="35">
        <v>3</v>
      </c>
      <c r="BX56" s="35">
        <v>3</v>
      </c>
      <c r="BY56" s="35">
        <v>3</v>
      </c>
      <c r="BZ56" s="35">
        <v>3</v>
      </c>
      <c r="CA56" s="35">
        <v>3</v>
      </c>
      <c r="CB56" s="35">
        <v>3</v>
      </c>
      <c r="CC56" s="35">
        <v>2</v>
      </c>
      <c r="CD56" s="35">
        <v>1</v>
      </c>
      <c r="CE56" s="35">
        <v>2</v>
      </c>
      <c r="CF56" s="35">
        <v>4</v>
      </c>
      <c r="CG56" s="35">
        <v>1</v>
      </c>
      <c r="CH56" s="35">
        <v>2</v>
      </c>
      <c r="CI56" s="35">
        <v>3</v>
      </c>
      <c r="CJ56" s="35">
        <v>2</v>
      </c>
      <c r="CK56" s="35">
        <v>3</v>
      </c>
      <c r="CL56" s="35">
        <v>2</v>
      </c>
      <c r="CM56" s="35">
        <v>4</v>
      </c>
      <c r="CN56" s="35">
        <v>3</v>
      </c>
      <c r="CO56" s="35">
        <v>2</v>
      </c>
    </row>
    <row r="57" spans="1:93" x14ac:dyDescent="0.25">
      <c r="A57" s="37" t="s">
        <v>458</v>
      </c>
      <c r="B57" s="37">
        <v>1</v>
      </c>
      <c r="C57" s="35">
        <v>40</v>
      </c>
      <c r="D57" s="35">
        <v>1</v>
      </c>
      <c r="E57" s="35">
        <v>0</v>
      </c>
      <c r="F57" s="35">
        <v>1</v>
      </c>
      <c r="G57" s="35">
        <v>1</v>
      </c>
      <c r="H57" s="35">
        <v>5</v>
      </c>
      <c r="I57" s="35">
        <v>1</v>
      </c>
      <c r="J57" s="35"/>
      <c r="K57" s="35">
        <v>2</v>
      </c>
      <c r="L57" s="35"/>
      <c r="M57" s="35">
        <f>IF(K57=2,1,0)</f>
        <v>1</v>
      </c>
      <c r="N57" s="35">
        <v>6</v>
      </c>
      <c r="O57" s="35">
        <v>10</v>
      </c>
      <c r="P57" s="35">
        <v>3</v>
      </c>
      <c r="Q57" s="35">
        <v>5</v>
      </c>
      <c r="R57" s="35">
        <v>4</v>
      </c>
      <c r="S57" s="35">
        <f>IF(R57=4,1,0)</f>
        <v>1</v>
      </c>
      <c r="T57" s="35"/>
      <c r="U57" s="35">
        <v>6</v>
      </c>
      <c r="V57" s="35">
        <f>IF(U57=6,1,0)</f>
        <v>1</v>
      </c>
      <c r="W57" s="35"/>
      <c r="X57" s="35">
        <v>2000</v>
      </c>
      <c r="Y57" s="35">
        <f>IF(X57=2000,1,0)</f>
        <v>1</v>
      </c>
      <c r="Z57" s="35"/>
      <c r="AA57" s="35">
        <v>2524.9499999999998</v>
      </c>
      <c r="AB57" s="35">
        <f>IF(AA57=2524.95,1,0)</f>
        <v>1</v>
      </c>
      <c r="AC57" s="35"/>
      <c r="AD57" s="35">
        <v>1980.23</v>
      </c>
      <c r="AE57" s="35">
        <f>IF(AD57=1980.23,1,0)</f>
        <v>1</v>
      </c>
      <c r="AF57" s="35"/>
      <c r="AG57" s="35">
        <v>1</v>
      </c>
      <c r="AH57" s="35">
        <f>IF(AG57=1,1,0)</f>
        <v>1</v>
      </c>
      <c r="AI57" s="35"/>
      <c r="AJ57" s="35">
        <v>0</v>
      </c>
      <c r="AK57" s="35">
        <f>IF(AJ57=0,1,0)</f>
        <v>1</v>
      </c>
      <c r="AL57" s="35"/>
      <c r="AM57" s="35">
        <v>1</v>
      </c>
      <c r="AN57" s="35">
        <f>IF(AM57=0,1,0)</f>
        <v>0</v>
      </c>
      <c r="AO57" s="35"/>
      <c r="AP57" s="35">
        <v>0</v>
      </c>
      <c r="AQ57" s="35">
        <f>IF(AP57=0,1,0)</f>
        <v>1</v>
      </c>
      <c r="AR57" s="35"/>
      <c r="AS57" s="35">
        <v>2</v>
      </c>
      <c r="AT57" s="35">
        <f>IF(AS57=2,1,0)</f>
        <v>1</v>
      </c>
      <c r="AU57" s="35"/>
      <c r="AV57" s="35">
        <v>1</v>
      </c>
      <c r="AW57" s="35">
        <f>IF(AV57=1,1,0)</f>
        <v>1</v>
      </c>
      <c r="AX57" s="35"/>
      <c r="AY57" s="35">
        <v>3</v>
      </c>
      <c r="AZ57" s="35">
        <f>IF(AY57=3,1,0)</f>
        <v>1</v>
      </c>
      <c r="BA57" s="35"/>
      <c r="BB57" s="35">
        <v>2</v>
      </c>
      <c r="BC57" s="35">
        <f>IF(BB57=2,1,0)</f>
        <v>1</v>
      </c>
      <c r="BD57" s="35"/>
      <c r="BE57" s="35">
        <f>L57-BD57</f>
        <v>0</v>
      </c>
      <c r="BF57" s="35"/>
      <c r="BG57" s="35">
        <v>2</v>
      </c>
      <c r="BH57" s="35">
        <f>IF(BG57=2,1,0)</f>
        <v>1</v>
      </c>
      <c r="BI57" s="35"/>
      <c r="BJ57" s="35">
        <f>S57+V57+Y57+AB57+AE57+AH57+AK57+AN57+AQ57+AT57+AW57+AZ57+BC57+BH57</f>
        <v>13</v>
      </c>
      <c r="BK57" s="35">
        <f>T57+W57+Z57+AC57+AF57+AI57+AL57+AO57+AR57+AU57+AX57+BA57+BD57+BI57</f>
        <v>0</v>
      </c>
      <c r="BL57" s="35">
        <v>4</v>
      </c>
      <c r="BM57" s="35">
        <v>3</v>
      </c>
      <c r="BN57" s="35">
        <v>3</v>
      </c>
      <c r="BO57" s="35">
        <v>3</v>
      </c>
      <c r="BP57" s="35">
        <v>4</v>
      </c>
      <c r="BQ57" s="35">
        <v>4</v>
      </c>
      <c r="BR57" s="35">
        <v>4</v>
      </c>
      <c r="BS57" s="35">
        <v>4</v>
      </c>
      <c r="BT57" s="35">
        <v>4</v>
      </c>
      <c r="BU57" s="35">
        <v>4</v>
      </c>
      <c r="BV57" s="35">
        <v>4</v>
      </c>
      <c r="BW57" s="35">
        <v>4</v>
      </c>
      <c r="BX57" s="35">
        <v>4</v>
      </c>
      <c r="BY57" s="35">
        <v>3</v>
      </c>
      <c r="BZ57" s="35">
        <v>3</v>
      </c>
      <c r="CA57" s="35">
        <v>4</v>
      </c>
      <c r="CB57" s="35">
        <v>4</v>
      </c>
      <c r="CC57" s="35">
        <v>4</v>
      </c>
      <c r="CD57" s="35">
        <v>4</v>
      </c>
      <c r="CE57" s="35">
        <v>0</v>
      </c>
      <c r="CF57" s="35">
        <v>3</v>
      </c>
      <c r="CG57" s="35">
        <v>3</v>
      </c>
      <c r="CH57" s="35">
        <v>3</v>
      </c>
      <c r="CI57" s="35">
        <v>4</v>
      </c>
      <c r="CJ57" s="35">
        <v>3</v>
      </c>
      <c r="CK57" s="35">
        <v>3</v>
      </c>
      <c r="CL57" s="35">
        <v>4</v>
      </c>
      <c r="CM57" s="35">
        <v>4</v>
      </c>
      <c r="CN57" s="35">
        <v>3</v>
      </c>
      <c r="CO57" s="35">
        <v>2</v>
      </c>
    </row>
    <row r="58" spans="1:93" x14ac:dyDescent="0.25">
      <c r="A58" s="37" t="s">
        <v>459</v>
      </c>
      <c r="B58" s="37">
        <v>1</v>
      </c>
      <c r="C58" s="35">
        <v>23</v>
      </c>
      <c r="D58" s="35">
        <v>0</v>
      </c>
      <c r="E58" s="35">
        <v>1</v>
      </c>
      <c r="F58" s="35">
        <v>0</v>
      </c>
      <c r="G58" s="35">
        <v>3</v>
      </c>
      <c r="H58" s="35">
        <v>6</v>
      </c>
      <c r="I58" s="35">
        <v>1</v>
      </c>
      <c r="J58" s="35"/>
      <c r="K58" s="35">
        <v>2</v>
      </c>
      <c r="L58" s="35"/>
      <c r="M58" s="35">
        <f>IF(K58=2,1,0)</f>
        <v>1</v>
      </c>
      <c r="N58" s="35">
        <v>6</v>
      </c>
      <c r="O58" s="35">
        <v>8</v>
      </c>
      <c r="P58" s="35">
        <v>4</v>
      </c>
      <c r="Q58" s="35">
        <v>7</v>
      </c>
      <c r="R58" s="35">
        <v>4</v>
      </c>
      <c r="S58" s="35">
        <f>IF(R58=4,1,0)</f>
        <v>1</v>
      </c>
      <c r="T58" s="35"/>
      <c r="U58" s="35">
        <v>6</v>
      </c>
      <c r="V58" s="35">
        <f>IF(U58=6,1,0)</f>
        <v>1</v>
      </c>
      <c r="W58" s="35"/>
      <c r="X58" s="35">
        <v>2000</v>
      </c>
      <c r="Y58" s="35">
        <f>IF(X58=2000,1,0)</f>
        <v>1</v>
      </c>
      <c r="Z58" s="35"/>
      <c r="AA58" s="35">
        <v>2500</v>
      </c>
      <c r="AB58" s="35">
        <f>IF(AA58=2524.95,1,0)</f>
        <v>0</v>
      </c>
      <c r="AC58" s="35"/>
      <c r="AD58" s="35">
        <v>1.04</v>
      </c>
      <c r="AE58" s="35">
        <f>IF(AD58=1980.23,1,0)</f>
        <v>0</v>
      </c>
      <c r="AF58" s="35"/>
      <c r="AG58" s="35">
        <v>1</v>
      </c>
      <c r="AH58" s="35">
        <f>IF(AG58=1,1,0)</f>
        <v>1</v>
      </c>
      <c r="AI58" s="35"/>
      <c r="AJ58" s="35">
        <v>0</v>
      </c>
      <c r="AK58" s="35">
        <f>IF(AJ58=0,1,0)</f>
        <v>1</v>
      </c>
      <c r="AL58" s="35"/>
      <c r="AM58" s="35">
        <v>0</v>
      </c>
      <c r="AN58" s="35">
        <f>IF(AM58=0,1,0)</f>
        <v>1</v>
      </c>
      <c r="AO58" s="35"/>
      <c r="AP58" s="35">
        <v>3</v>
      </c>
      <c r="AQ58" s="35">
        <f>IF(AP58=0,1,0)</f>
        <v>0</v>
      </c>
      <c r="AR58" s="35"/>
      <c r="AS58" s="35">
        <v>1</v>
      </c>
      <c r="AT58" s="35">
        <f>IF(AS58=2,1,0)</f>
        <v>0</v>
      </c>
      <c r="AU58" s="35"/>
      <c r="AV58" s="35">
        <v>1</v>
      </c>
      <c r="AW58" s="35">
        <f>IF(AV58=1,1,0)</f>
        <v>1</v>
      </c>
      <c r="AX58" s="35"/>
      <c r="AY58" s="35">
        <v>2</v>
      </c>
      <c r="AZ58" s="35">
        <f>IF(AY58=3,1,0)</f>
        <v>0</v>
      </c>
      <c r="BA58" s="35"/>
      <c r="BB58" s="35">
        <v>2</v>
      </c>
      <c r="BC58" s="35">
        <f>IF(BB58=2,1,0)</f>
        <v>1</v>
      </c>
      <c r="BD58" s="35"/>
      <c r="BE58" s="35">
        <f>L58-BD58</f>
        <v>0</v>
      </c>
      <c r="BF58" s="35"/>
      <c r="BG58" s="35">
        <v>0</v>
      </c>
      <c r="BH58" s="35">
        <f>IF(BG58=2,1,0)</f>
        <v>0</v>
      </c>
      <c r="BI58" s="35"/>
      <c r="BJ58" s="35">
        <f>S58+V58+Y58+AB58+AE58+AH58+AK58+AN58+AQ58+AT58+AW58+AZ58+BC58+BH58</f>
        <v>8</v>
      </c>
      <c r="BK58" s="35">
        <f>T58+W58+Z58+AC58+AF58+AI58+AL58+AO58+AR58+AU58+AX58+BA58+BD58+BI58</f>
        <v>0</v>
      </c>
      <c r="BL58" s="35">
        <v>3</v>
      </c>
      <c r="BM58" s="35">
        <v>2</v>
      </c>
      <c r="BN58" s="35">
        <v>4</v>
      </c>
      <c r="BO58" s="35">
        <v>3</v>
      </c>
      <c r="BP58" s="35">
        <v>3</v>
      </c>
      <c r="BQ58" s="35">
        <v>4</v>
      </c>
      <c r="BR58" s="35">
        <v>4</v>
      </c>
      <c r="BS58" s="35">
        <v>1</v>
      </c>
      <c r="BT58" s="35">
        <v>1</v>
      </c>
      <c r="BU58" s="35">
        <v>0</v>
      </c>
      <c r="BV58" s="35">
        <v>4</v>
      </c>
      <c r="BW58" s="35">
        <v>3</v>
      </c>
      <c r="BX58" s="35">
        <v>3</v>
      </c>
      <c r="BY58" s="35">
        <v>2</v>
      </c>
      <c r="BZ58" s="35">
        <v>1</v>
      </c>
      <c r="CA58" s="35">
        <v>2</v>
      </c>
      <c r="CB58" s="35">
        <v>2</v>
      </c>
      <c r="CC58" s="35">
        <v>2</v>
      </c>
      <c r="CD58" s="35">
        <v>3</v>
      </c>
      <c r="CE58" s="35">
        <v>3</v>
      </c>
      <c r="CF58" s="35">
        <v>3</v>
      </c>
      <c r="CG58" s="35">
        <v>3</v>
      </c>
      <c r="CH58" s="35">
        <v>2</v>
      </c>
      <c r="CI58" s="35">
        <v>1</v>
      </c>
      <c r="CJ58" s="35">
        <v>0</v>
      </c>
      <c r="CK58" s="35">
        <v>3</v>
      </c>
      <c r="CL58" s="35">
        <v>3</v>
      </c>
      <c r="CM58" s="35">
        <v>3</v>
      </c>
      <c r="CN58" s="35">
        <v>4</v>
      </c>
      <c r="CO58" s="35">
        <v>3</v>
      </c>
    </row>
    <row r="59" spans="1:93" x14ac:dyDescent="0.25">
      <c r="A59" s="37" t="s">
        <v>460</v>
      </c>
      <c r="B59" s="37">
        <v>1</v>
      </c>
      <c r="C59" s="35">
        <v>29</v>
      </c>
      <c r="D59" s="35">
        <v>0</v>
      </c>
      <c r="E59" s="35">
        <v>1</v>
      </c>
      <c r="F59" s="35">
        <v>0</v>
      </c>
      <c r="G59" s="35">
        <v>3</v>
      </c>
      <c r="H59" s="35">
        <v>0</v>
      </c>
      <c r="I59" s="35">
        <v>0</v>
      </c>
      <c r="J59" s="35">
        <v>0</v>
      </c>
      <c r="K59" s="35">
        <v>2</v>
      </c>
      <c r="L59" s="35"/>
      <c r="M59" s="35">
        <f>IF(K59=2,1,0)</f>
        <v>1</v>
      </c>
      <c r="N59" s="35">
        <v>6</v>
      </c>
      <c r="O59" s="35">
        <v>10</v>
      </c>
      <c r="P59" s="35">
        <v>11</v>
      </c>
      <c r="Q59" s="35">
        <v>7</v>
      </c>
      <c r="R59" s="35">
        <v>5</v>
      </c>
      <c r="S59" s="35">
        <f>IF(R59=4,1,0)</f>
        <v>0</v>
      </c>
      <c r="T59" s="35"/>
      <c r="U59" s="35">
        <v>4</v>
      </c>
      <c r="V59" s="35">
        <f>IF(U59=6,1,0)</f>
        <v>0</v>
      </c>
      <c r="W59" s="35"/>
      <c r="X59" s="35">
        <v>2000</v>
      </c>
      <c r="Y59" s="35">
        <f>IF(X59=2000,1,0)</f>
        <v>1</v>
      </c>
      <c r="Z59" s="35"/>
      <c r="AA59" s="35">
        <v>2525</v>
      </c>
      <c r="AB59" s="35">
        <v>1</v>
      </c>
      <c r="AC59" s="35"/>
      <c r="AD59" s="35">
        <v>1980</v>
      </c>
      <c r="AE59" s="35">
        <v>1</v>
      </c>
      <c r="AF59" s="35"/>
      <c r="AG59" s="35">
        <v>0</v>
      </c>
      <c r="AH59" s="35">
        <f>IF(AG59=1,1,0)</f>
        <v>0</v>
      </c>
      <c r="AI59" s="35"/>
      <c r="AJ59" s="35">
        <v>0</v>
      </c>
      <c r="AK59" s="35">
        <f>IF(AJ59=0,1,0)</f>
        <v>1</v>
      </c>
      <c r="AL59" s="35"/>
      <c r="AM59" s="35">
        <v>0</v>
      </c>
      <c r="AN59" s="35">
        <f>IF(AM59=0,1,0)</f>
        <v>1</v>
      </c>
      <c r="AO59" s="35"/>
      <c r="AP59" s="35">
        <v>3</v>
      </c>
      <c r="AQ59" s="35">
        <f>IF(AP59=0,1,0)</f>
        <v>0</v>
      </c>
      <c r="AR59" s="35"/>
      <c r="AS59" s="35">
        <v>2</v>
      </c>
      <c r="AT59" s="35">
        <f>IF(AS59=2,1,0)</f>
        <v>1</v>
      </c>
      <c r="AU59" s="35"/>
      <c r="AV59" s="35">
        <v>1</v>
      </c>
      <c r="AW59" s="35">
        <f>IF(AV59=1,1,0)</f>
        <v>1</v>
      </c>
      <c r="AX59" s="35"/>
      <c r="AY59" s="35">
        <v>3</v>
      </c>
      <c r="AZ59" s="35">
        <f>IF(AY59=3,1,0)</f>
        <v>1</v>
      </c>
      <c r="BA59" s="35"/>
      <c r="BB59" s="35">
        <v>2</v>
      </c>
      <c r="BC59" s="35">
        <f>IF(BB59=2,1,0)</f>
        <v>1</v>
      </c>
      <c r="BD59" s="35"/>
      <c r="BE59" s="35">
        <f>L59-BD59</f>
        <v>0</v>
      </c>
      <c r="BF59" s="35"/>
      <c r="BG59" s="35">
        <v>2</v>
      </c>
      <c r="BH59" s="35">
        <f>IF(BG59=2,1,0)</f>
        <v>1</v>
      </c>
      <c r="BI59" s="35"/>
      <c r="BJ59" s="35">
        <f>S59+V59+Y59+AB59+AE59+AH59+AK59+AN59+AQ59+AT59+AW59+AZ59+BC59+BH59</f>
        <v>10</v>
      </c>
      <c r="BK59" s="35">
        <f>T59+W59+Z59+AC59+AF59+AI59+AL59+AO59+AR59+AU59+AX59+BA59+BD59+BI59</f>
        <v>0</v>
      </c>
      <c r="BL59" s="35">
        <v>4</v>
      </c>
      <c r="BM59" s="35">
        <v>3</v>
      </c>
      <c r="BN59" s="35">
        <v>3</v>
      </c>
      <c r="BO59" s="35">
        <v>4</v>
      </c>
      <c r="BP59" s="35">
        <v>4</v>
      </c>
      <c r="BQ59" s="35">
        <v>4</v>
      </c>
      <c r="BR59" s="35">
        <v>4</v>
      </c>
      <c r="BS59" s="35">
        <v>4</v>
      </c>
      <c r="BT59" s="35">
        <v>4</v>
      </c>
      <c r="BU59" s="35">
        <v>2</v>
      </c>
      <c r="BV59" s="35">
        <v>4</v>
      </c>
      <c r="BW59" s="35">
        <v>4</v>
      </c>
      <c r="BX59" s="35">
        <v>4</v>
      </c>
      <c r="BY59" s="35">
        <v>3</v>
      </c>
      <c r="BZ59" s="35">
        <v>3</v>
      </c>
      <c r="CA59" s="35">
        <v>3</v>
      </c>
      <c r="CB59" s="35">
        <v>3</v>
      </c>
      <c r="CC59" s="35">
        <v>3</v>
      </c>
      <c r="CD59" s="35">
        <v>3</v>
      </c>
      <c r="CE59" s="35">
        <v>2</v>
      </c>
      <c r="CF59" s="35">
        <v>4</v>
      </c>
      <c r="CG59" s="35">
        <v>2</v>
      </c>
      <c r="CH59" s="35">
        <v>3</v>
      </c>
      <c r="CI59" s="35">
        <v>4</v>
      </c>
      <c r="CJ59" s="35">
        <v>3</v>
      </c>
      <c r="CK59" s="35">
        <v>3</v>
      </c>
      <c r="CL59" s="35">
        <v>3</v>
      </c>
      <c r="CM59" s="35">
        <v>4</v>
      </c>
      <c r="CN59" s="35">
        <v>4</v>
      </c>
      <c r="CO59" s="35">
        <v>4</v>
      </c>
    </row>
    <row r="60" spans="1:93" x14ac:dyDescent="0.25">
      <c r="A60" s="37" t="s">
        <v>461</v>
      </c>
      <c r="B60" s="37">
        <v>1</v>
      </c>
      <c r="C60" s="35">
        <v>36</v>
      </c>
      <c r="D60" s="35">
        <v>0</v>
      </c>
      <c r="E60" s="35">
        <v>1</v>
      </c>
      <c r="F60" s="35">
        <v>0</v>
      </c>
      <c r="G60" s="35">
        <v>3</v>
      </c>
      <c r="H60" s="35">
        <v>0</v>
      </c>
      <c r="I60" s="35">
        <v>1</v>
      </c>
      <c r="J60" s="35"/>
      <c r="K60" s="35">
        <v>2</v>
      </c>
      <c r="L60" s="35"/>
      <c r="M60" s="35">
        <f>IF(K60=2,1,0)</f>
        <v>1</v>
      </c>
      <c r="N60" s="35">
        <v>6</v>
      </c>
      <c r="O60" s="35">
        <v>8</v>
      </c>
      <c r="P60" s="35">
        <v>6</v>
      </c>
      <c r="Q60" s="35">
        <v>5</v>
      </c>
      <c r="R60" s="35">
        <v>4</v>
      </c>
      <c r="S60" s="35">
        <f>IF(R60=4,1,0)</f>
        <v>1</v>
      </c>
      <c r="T60" s="35"/>
      <c r="U60" s="35">
        <v>6</v>
      </c>
      <c r="V60" s="35">
        <f>IF(U60=6,1,0)</f>
        <v>1</v>
      </c>
      <c r="W60" s="35"/>
      <c r="X60" s="35">
        <v>2000</v>
      </c>
      <c r="Y60" s="35">
        <f>IF(X60=2000,1,0)</f>
        <v>1</v>
      </c>
      <c r="Z60" s="35"/>
      <c r="AA60" s="35">
        <v>2500</v>
      </c>
      <c r="AB60" s="35">
        <f>IF(AA60=2524.95,1,0)</f>
        <v>0</v>
      </c>
      <c r="AC60" s="35"/>
      <c r="AD60" s="35">
        <v>1980.23</v>
      </c>
      <c r="AE60" s="35">
        <f>IF(AD60=1980.23,1,0)</f>
        <v>1</v>
      </c>
      <c r="AF60" s="35"/>
      <c r="AG60" s="35">
        <v>1</v>
      </c>
      <c r="AH60" s="35">
        <f>IF(AG60=1,1,0)</f>
        <v>1</v>
      </c>
      <c r="AI60" s="35"/>
      <c r="AJ60" s="35">
        <v>0</v>
      </c>
      <c r="AK60" s="35">
        <f>IF(AJ60=0,1,0)</f>
        <v>1</v>
      </c>
      <c r="AL60" s="35"/>
      <c r="AM60" s="35">
        <v>0</v>
      </c>
      <c r="AN60" s="35">
        <f>IF(AM60=0,1,0)</f>
        <v>1</v>
      </c>
      <c r="AO60" s="35"/>
      <c r="AP60" s="35">
        <v>2</v>
      </c>
      <c r="AQ60" s="35">
        <f>IF(AP60=0,1,0)</f>
        <v>0</v>
      </c>
      <c r="AR60" s="35"/>
      <c r="AS60" s="35">
        <v>1</v>
      </c>
      <c r="AT60" s="35">
        <f>IF(AS60=2,1,0)</f>
        <v>0</v>
      </c>
      <c r="AU60" s="35"/>
      <c r="AV60" s="35">
        <v>1</v>
      </c>
      <c r="AW60" s="35">
        <f>IF(AV60=1,1,0)</f>
        <v>1</v>
      </c>
      <c r="AX60" s="35"/>
      <c r="AY60" s="35">
        <v>2</v>
      </c>
      <c r="AZ60" s="35">
        <f>IF(AY60=3,1,0)</f>
        <v>0</v>
      </c>
      <c r="BA60" s="35"/>
      <c r="BB60" s="35">
        <v>2</v>
      </c>
      <c r="BC60" s="35">
        <f>IF(BB60=2,1,0)</f>
        <v>1</v>
      </c>
      <c r="BD60" s="35"/>
      <c r="BE60" s="35">
        <f>L60-BD60</f>
        <v>0</v>
      </c>
      <c r="BF60" s="35"/>
      <c r="BG60" s="35">
        <v>2</v>
      </c>
      <c r="BH60" s="35">
        <f>IF(BG60=2,1,0)</f>
        <v>1</v>
      </c>
      <c r="BI60" s="35"/>
      <c r="BJ60" s="35">
        <f>S60+V60+Y60+AB60+AE60+AH60+AK60+AN60+AQ60+AT60+AW60+AZ60+BC60+BH60</f>
        <v>10</v>
      </c>
      <c r="BK60" s="35">
        <f>T60+W60+Z60+AC60+AF60+AI60+AL60+AO60+AR60+AU60+AX60+BA60+BD60+BI60</f>
        <v>0</v>
      </c>
      <c r="BL60" s="35">
        <v>3</v>
      </c>
      <c r="BM60" s="35">
        <v>4</v>
      </c>
      <c r="BN60" s="35">
        <v>4</v>
      </c>
      <c r="BO60" s="35">
        <v>4</v>
      </c>
      <c r="BP60" s="35">
        <v>4</v>
      </c>
      <c r="BQ60" s="35">
        <v>4</v>
      </c>
      <c r="BR60" s="35">
        <v>4</v>
      </c>
      <c r="BS60" s="35">
        <v>3</v>
      </c>
      <c r="BT60" s="35">
        <v>3</v>
      </c>
      <c r="BU60" s="35">
        <v>3</v>
      </c>
      <c r="BV60" s="35">
        <v>4</v>
      </c>
      <c r="BW60" s="35">
        <v>4</v>
      </c>
      <c r="BX60" s="35">
        <v>3</v>
      </c>
      <c r="BY60" s="35">
        <v>1</v>
      </c>
      <c r="BZ60" s="35">
        <v>3</v>
      </c>
      <c r="CA60" s="35">
        <v>4</v>
      </c>
      <c r="CB60" s="35">
        <v>4</v>
      </c>
      <c r="CC60" s="35">
        <v>4</v>
      </c>
      <c r="CD60" s="35">
        <v>2</v>
      </c>
      <c r="CE60" s="35">
        <v>0</v>
      </c>
      <c r="CF60" s="35">
        <v>4</v>
      </c>
      <c r="CG60" s="35">
        <v>4</v>
      </c>
      <c r="CH60" s="35">
        <v>4</v>
      </c>
      <c r="CI60" s="35">
        <v>4</v>
      </c>
      <c r="CJ60" s="35">
        <v>4</v>
      </c>
      <c r="CK60" s="35">
        <v>3</v>
      </c>
      <c r="CL60" s="35">
        <v>1</v>
      </c>
      <c r="CM60" s="35">
        <v>4</v>
      </c>
      <c r="CN60" s="35">
        <v>4</v>
      </c>
      <c r="CO60" s="35">
        <v>4</v>
      </c>
    </row>
    <row r="61" spans="1:93" x14ac:dyDescent="0.25">
      <c r="A61" s="37" t="s">
        <v>462</v>
      </c>
      <c r="B61" s="37">
        <v>1</v>
      </c>
      <c r="C61" s="35">
        <v>33</v>
      </c>
      <c r="D61" s="35">
        <v>1</v>
      </c>
      <c r="E61" s="35">
        <v>0</v>
      </c>
      <c r="F61" s="35">
        <v>0</v>
      </c>
      <c r="G61" s="35">
        <v>3</v>
      </c>
      <c r="H61" s="35">
        <v>0</v>
      </c>
      <c r="I61" s="35">
        <v>1</v>
      </c>
      <c r="J61" s="35"/>
      <c r="K61" s="35">
        <v>2</v>
      </c>
      <c r="L61" s="35">
        <v>58</v>
      </c>
      <c r="M61" s="35">
        <f>IF(K61=2,1,0)</f>
        <v>1</v>
      </c>
      <c r="N61" s="35">
        <v>8</v>
      </c>
      <c r="O61" s="35">
        <v>8</v>
      </c>
      <c r="P61" s="35">
        <v>7</v>
      </c>
      <c r="Q61" s="35">
        <v>6</v>
      </c>
      <c r="R61" s="35">
        <v>4</v>
      </c>
      <c r="S61" s="35">
        <f>IF(R61=4,1,0)</f>
        <v>1</v>
      </c>
      <c r="T61" s="35">
        <v>14</v>
      </c>
      <c r="U61" s="35">
        <v>6</v>
      </c>
      <c r="V61" s="35">
        <f>IF(U61=6,1,0)</f>
        <v>1</v>
      </c>
      <c r="W61" s="35">
        <v>5</v>
      </c>
      <c r="X61" s="35">
        <v>2000</v>
      </c>
      <c r="Y61" s="35">
        <f>IF(X61=2000,1,0)</f>
        <v>1</v>
      </c>
      <c r="Z61" s="35">
        <v>8</v>
      </c>
      <c r="AA61" s="35">
        <v>2524.9499999999998</v>
      </c>
      <c r="AB61" s="35">
        <f>IF(AA61=2524.95,1,0)</f>
        <v>1</v>
      </c>
      <c r="AC61" s="35">
        <v>31</v>
      </c>
      <c r="AD61" s="35">
        <v>1980.23</v>
      </c>
      <c r="AE61" s="35">
        <f>IF(AD61=1980.23,1,0)</f>
        <v>1</v>
      </c>
      <c r="AF61" s="35">
        <v>12</v>
      </c>
      <c r="AG61" s="35">
        <v>1</v>
      </c>
      <c r="AH61" s="35">
        <f>IF(AG61=1,1,0)</f>
        <v>1</v>
      </c>
      <c r="AI61" s="35">
        <v>9</v>
      </c>
      <c r="AJ61" s="35">
        <v>0</v>
      </c>
      <c r="AK61" s="35">
        <f>IF(AJ61=0,1,0)</f>
        <v>1</v>
      </c>
      <c r="AL61" s="35">
        <v>15</v>
      </c>
      <c r="AM61" s="35">
        <v>0</v>
      </c>
      <c r="AN61" s="35">
        <f>IF(AM61=0,1,0)</f>
        <v>1</v>
      </c>
      <c r="AO61" s="35">
        <v>37</v>
      </c>
      <c r="AP61" s="35">
        <v>0</v>
      </c>
      <c r="AQ61" s="35">
        <f>IF(AP61=0,1,0)</f>
        <v>1</v>
      </c>
      <c r="AR61" s="35">
        <v>17</v>
      </c>
      <c r="AS61" s="35">
        <v>3</v>
      </c>
      <c r="AT61" s="35">
        <f>IF(AS61=2,1,0)</f>
        <v>0</v>
      </c>
      <c r="AU61" s="35">
        <v>34</v>
      </c>
      <c r="AV61" s="35">
        <v>1</v>
      </c>
      <c r="AW61" s="35">
        <f>IF(AV61=1,1,0)</f>
        <v>1</v>
      </c>
      <c r="AX61" s="35">
        <v>7</v>
      </c>
      <c r="AY61" s="35">
        <v>3</v>
      </c>
      <c r="AZ61" s="35">
        <f>IF(AY61=3,1,0)</f>
        <v>1</v>
      </c>
      <c r="BA61" s="35">
        <v>37</v>
      </c>
      <c r="BB61" s="35">
        <v>2</v>
      </c>
      <c r="BC61" s="35">
        <f>IF(BB61=2,1,0)</f>
        <v>1</v>
      </c>
      <c r="BD61" s="35">
        <v>25</v>
      </c>
      <c r="BE61" s="35">
        <f>L61-BD61</f>
        <v>33</v>
      </c>
      <c r="BF61" s="35"/>
      <c r="BG61" s="35">
        <v>0</v>
      </c>
      <c r="BH61" s="35">
        <f>IF(BG61=2,1,0)</f>
        <v>0</v>
      </c>
      <c r="BI61" s="35">
        <v>115</v>
      </c>
      <c r="BJ61" s="35">
        <f>S61+V61+Y61+AB61+AE61+AH61+AK61+AN61+AQ61+AT61+AW61+AZ61+BC61+BH61</f>
        <v>12</v>
      </c>
      <c r="BK61" s="35">
        <f>T61+W61+Z61+AC61+AF61+AI61+AL61+AO61+AR61+AU61+AX61+BA61+BD61+BI61</f>
        <v>366</v>
      </c>
      <c r="BL61" s="35">
        <v>4</v>
      </c>
      <c r="BM61" s="35">
        <v>3</v>
      </c>
      <c r="BN61" s="35">
        <v>3</v>
      </c>
      <c r="BO61" s="35">
        <v>4</v>
      </c>
      <c r="BP61" s="35">
        <v>4</v>
      </c>
      <c r="BQ61" s="35">
        <v>4</v>
      </c>
      <c r="BR61" s="35">
        <v>4</v>
      </c>
      <c r="BS61" s="35">
        <v>4</v>
      </c>
      <c r="BT61" s="35">
        <v>4</v>
      </c>
      <c r="BU61" s="35">
        <v>4</v>
      </c>
      <c r="BV61" s="35">
        <v>4</v>
      </c>
      <c r="BW61" s="35">
        <v>4</v>
      </c>
      <c r="BX61" s="35">
        <v>4</v>
      </c>
      <c r="BY61" s="35">
        <v>4</v>
      </c>
      <c r="BZ61" s="35">
        <v>4</v>
      </c>
      <c r="CA61" s="35">
        <v>4</v>
      </c>
      <c r="CB61" s="35">
        <v>4</v>
      </c>
      <c r="CC61" s="35">
        <v>3</v>
      </c>
      <c r="CD61" s="35">
        <v>4</v>
      </c>
      <c r="CE61" s="35">
        <v>0</v>
      </c>
      <c r="CF61" s="35">
        <v>3</v>
      </c>
      <c r="CG61" s="35">
        <v>1</v>
      </c>
      <c r="CH61" s="35">
        <v>1</v>
      </c>
      <c r="CI61" s="35">
        <v>3</v>
      </c>
      <c r="CJ61" s="35">
        <v>1</v>
      </c>
      <c r="CK61" s="35">
        <v>4</v>
      </c>
      <c r="CL61" s="35">
        <v>3</v>
      </c>
      <c r="CM61" s="35">
        <v>4</v>
      </c>
      <c r="CN61" s="35">
        <v>4</v>
      </c>
      <c r="CO61" s="35">
        <v>4</v>
      </c>
    </row>
    <row r="62" spans="1:93" x14ac:dyDescent="0.25">
      <c r="A62" s="37" t="s">
        <v>463</v>
      </c>
      <c r="B62" s="37">
        <v>1</v>
      </c>
      <c r="C62" s="35">
        <v>68</v>
      </c>
      <c r="D62" s="35">
        <v>1</v>
      </c>
      <c r="E62" s="35">
        <v>0</v>
      </c>
      <c r="F62" s="35">
        <v>1</v>
      </c>
      <c r="G62" s="35">
        <v>1</v>
      </c>
      <c r="H62" s="35">
        <v>4</v>
      </c>
      <c r="I62" s="35">
        <v>0</v>
      </c>
      <c r="J62" s="35">
        <v>0</v>
      </c>
      <c r="K62" s="35">
        <v>2</v>
      </c>
      <c r="L62" s="35">
        <v>105</v>
      </c>
      <c r="M62" s="35">
        <f>IF(K62=2,1,0)</f>
        <v>1</v>
      </c>
      <c r="N62" s="35">
        <v>5</v>
      </c>
      <c r="O62" s="35">
        <v>1</v>
      </c>
      <c r="P62" s="35">
        <v>9</v>
      </c>
      <c r="Q62" s="35">
        <v>3</v>
      </c>
      <c r="R62" s="35">
        <v>4</v>
      </c>
      <c r="S62" s="35">
        <f>IF(R62=4,1,0)</f>
        <v>1</v>
      </c>
      <c r="T62" s="35">
        <v>179</v>
      </c>
      <c r="U62" s="35">
        <v>6</v>
      </c>
      <c r="V62" s="35">
        <f>IF(U62=6,1,0)</f>
        <v>1</v>
      </c>
      <c r="W62" s="35">
        <v>9</v>
      </c>
      <c r="X62" s="35">
        <v>2000</v>
      </c>
      <c r="Y62" s="35">
        <f>IF(X62=2000,1,0)</f>
        <v>1</v>
      </c>
      <c r="Z62" s="35">
        <v>10</v>
      </c>
      <c r="AA62" s="35">
        <v>2524.9499999999998</v>
      </c>
      <c r="AB62" s="35">
        <f>IF(AA62=2524.95,1,0)</f>
        <v>1</v>
      </c>
      <c r="AC62" s="35">
        <v>49</v>
      </c>
      <c r="AD62" s="35">
        <v>1980.23</v>
      </c>
      <c r="AE62" s="35">
        <f>IF(AD62=1980.23,1,0)</f>
        <v>1</v>
      </c>
      <c r="AF62" s="35">
        <v>38</v>
      </c>
      <c r="AG62" s="35">
        <v>1</v>
      </c>
      <c r="AH62" s="35">
        <f>IF(AG62=1,1,0)</f>
        <v>1</v>
      </c>
      <c r="AI62" s="35">
        <v>34</v>
      </c>
      <c r="AJ62" s="35">
        <v>0</v>
      </c>
      <c r="AK62" s="35">
        <f>IF(AJ62=0,1,0)</f>
        <v>1</v>
      </c>
      <c r="AL62" s="35">
        <v>108</v>
      </c>
      <c r="AM62" s="35">
        <v>3</v>
      </c>
      <c r="AN62" s="35">
        <f>IF(AM62=0,1,0)</f>
        <v>0</v>
      </c>
      <c r="AO62" s="35">
        <v>42</v>
      </c>
      <c r="AP62" s="35">
        <v>0</v>
      </c>
      <c r="AQ62" s="35">
        <f>IF(AP62=0,1,0)</f>
        <v>1</v>
      </c>
      <c r="AR62" s="35">
        <v>36</v>
      </c>
      <c r="AS62" s="35">
        <v>1</v>
      </c>
      <c r="AT62" s="35">
        <f>IF(AS62=2,1,0)</f>
        <v>0</v>
      </c>
      <c r="AU62" s="35">
        <v>46</v>
      </c>
      <c r="AV62" s="35">
        <v>1</v>
      </c>
      <c r="AW62" s="35">
        <f>IF(AV62=1,1,0)</f>
        <v>1</v>
      </c>
      <c r="AX62" s="35">
        <v>12</v>
      </c>
      <c r="AY62" s="35">
        <v>3</v>
      </c>
      <c r="AZ62" s="35">
        <f>IF(AY62=3,1,0)</f>
        <v>1</v>
      </c>
      <c r="BA62" s="35">
        <v>121</v>
      </c>
      <c r="BB62" s="35">
        <v>2</v>
      </c>
      <c r="BC62" s="35">
        <f>IF(BB62=2,1,0)</f>
        <v>1</v>
      </c>
      <c r="BD62" s="35">
        <v>37</v>
      </c>
      <c r="BE62" s="35">
        <f>L62-BD62</f>
        <v>68</v>
      </c>
      <c r="BF62" s="35"/>
      <c r="BG62" s="35">
        <v>2</v>
      </c>
      <c r="BH62" s="35">
        <f>IF(BG62=2,1,0)</f>
        <v>1</v>
      </c>
      <c r="BI62" s="35">
        <v>234</v>
      </c>
      <c r="BJ62" s="35">
        <f>S62+V62+Y62+AB62+AE62+AH62+AK62+AN62+AQ62+AT62+AW62+AZ62+BC62+BH62</f>
        <v>12</v>
      </c>
      <c r="BK62" s="35">
        <f>T62+W62+Z62+AC62+AF62+AI62+AL62+AO62+AR62+AU62+AX62+BA62+BD62+BI62</f>
        <v>955</v>
      </c>
      <c r="BL62" s="35">
        <v>4</v>
      </c>
      <c r="BM62" s="35">
        <v>3</v>
      </c>
      <c r="BN62" s="35">
        <v>3</v>
      </c>
      <c r="BO62" s="35">
        <v>4</v>
      </c>
      <c r="BP62" s="35">
        <v>4</v>
      </c>
      <c r="BQ62" s="35">
        <v>4</v>
      </c>
      <c r="BR62" s="35">
        <v>4</v>
      </c>
      <c r="BS62" s="35">
        <v>4</v>
      </c>
      <c r="BT62" s="35">
        <v>4</v>
      </c>
      <c r="BU62" s="35">
        <v>4</v>
      </c>
      <c r="BV62" s="35">
        <v>4</v>
      </c>
      <c r="BW62" s="35">
        <v>4</v>
      </c>
      <c r="BX62" s="35">
        <v>4</v>
      </c>
      <c r="BY62" s="35">
        <v>4</v>
      </c>
      <c r="BZ62" s="35">
        <v>4</v>
      </c>
      <c r="CA62" s="35">
        <v>4</v>
      </c>
      <c r="CB62" s="35">
        <v>4</v>
      </c>
      <c r="CC62" s="35">
        <v>3</v>
      </c>
      <c r="CD62" s="35">
        <v>4</v>
      </c>
      <c r="CE62" s="35">
        <v>0</v>
      </c>
      <c r="CF62" s="35">
        <v>3</v>
      </c>
      <c r="CG62" s="35">
        <v>3</v>
      </c>
      <c r="CH62" s="35">
        <v>3</v>
      </c>
      <c r="CI62" s="35">
        <v>4</v>
      </c>
      <c r="CJ62" s="35">
        <v>3</v>
      </c>
      <c r="CK62" s="35">
        <v>4</v>
      </c>
      <c r="CL62" s="35">
        <v>4</v>
      </c>
      <c r="CM62" s="35">
        <v>4</v>
      </c>
      <c r="CN62" s="35">
        <v>3</v>
      </c>
      <c r="CO62" s="35">
        <v>4</v>
      </c>
    </row>
    <row r="63" spans="1:93" x14ac:dyDescent="0.25">
      <c r="A63" s="22" t="s">
        <v>336</v>
      </c>
      <c r="B63" s="22">
        <v>1</v>
      </c>
      <c r="C63" s="12">
        <v>64</v>
      </c>
      <c r="D63" s="12">
        <v>0</v>
      </c>
      <c r="E63" s="12">
        <v>0</v>
      </c>
      <c r="F63" s="12">
        <v>1</v>
      </c>
      <c r="G63" s="12">
        <v>0</v>
      </c>
      <c r="H63" s="12">
        <v>0</v>
      </c>
      <c r="I63" s="12">
        <v>1</v>
      </c>
      <c r="J63" s="12"/>
      <c r="K63" s="12">
        <v>2</v>
      </c>
      <c r="L63" s="12">
        <v>182</v>
      </c>
      <c r="M63" s="12">
        <f>IF(K63=2,1,0)</f>
        <v>1</v>
      </c>
      <c r="N63" s="12">
        <v>7</v>
      </c>
      <c r="O63" s="12">
        <v>9</v>
      </c>
      <c r="P63" s="12">
        <v>6</v>
      </c>
      <c r="Q63" s="12">
        <v>9</v>
      </c>
      <c r="R63" s="12">
        <v>2524.9499999999998</v>
      </c>
      <c r="S63" s="12">
        <f>IF(R63=4,1,0)</f>
        <v>0</v>
      </c>
      <c r="T63" s="12">
        <v>339</v>
      </c>
      <c r="U63" s="12">
        <v>4</v>
      </c>
      <c r="V63" s="12">
        <f>IF(U63=6,1,0)</f>
        <v>0</v>
      </c>
      <c r="W63" s="12">
        <v>17</v>
      </c>
      <c r="X63" s="12">
        <v>2000</v>
      </c>
      <c r="Y63" s="12">
        <f>IF(X63=2000,1,0)</f>
        <v>1</v>
      </c>
      <c r="Z63" s="12">
        <v>37</v>
      </c>
      <c r="AA63" s="12">
        <v>2524.9499999999998</v>
      </c>
      <c r="AB63" s="12">
        <f>IF(AA63=2524.95,1,0)</f>
        <v>1</v>
      </c>
      <c r="AC63" s="12">
        <v>15</v>
      </c>
      <c r="AD63" s="12">
        <v>1900</v>
      </c>
      <c r="AE63" s="12">
        <f>IF(AD63=1980.23,1,0)</f>
        <v>0</v>
      </c>
      <c r="AF63" s="12">
        <v>456</v>
      </c>
      <c r="AG63" s="12">
        <v>0</v>
      </c>
      <c r="AH63" s="12">
        <f>IF(AG63=1,1,0)</f>
        <v>0</v>
      </c>
      <c r="AI63" s="12">
        <v>13</v>
      </c>
      <c r="AJ63" s="12">
        <v>0</v>
      </c>
      <c r="AK63" s="12">
        <f>IF(AJ63=0,1,0)</f>
        <v>1</v>
      </c>
      <c r="AL63" s="12">
        <v>13</v>
      </c>
      <c r="AM63" s="12">
        <v>3</v>
      </c>
      <c r="AN63" s="12">
        <f>IF(AM63=0,1,0)</f>
        <v>0</v>
      </c>
      <c r="AO63" s="12">
        <v>16</v>
      </c>
      <c r="AP63" s="12">
        <v>0</v>
      </c>
      <c r="AQ63" s="12">
        <f>IF(AP63=0,1,0)</f>
        <v>1</v>
      </c>
      <c r="AR63" s="12">
        <v>43</v>
      </c>
      <c r="AS63" s="12">
        <v>3</v>
      </c>
      <c r="AT63" s="12">
        <f>IF(AS63=2,1,0)</f>
        <v>0</v>
      </c>
      <c r="AU63" s="12">
        <v>26</v>
      </c>
      <c r="AV63" s="12">
        <v>2</v>
      </c>
      <c r="AW63" s="12">
        <f>IF(AV63=1,1,0)</f>
        <v>0</v>
      </c>
      <c r="AX63" s="12">
        <v>22</v>
      </c>
      <c r="AY63" s="12">
        <v>0</v>
      </c>
      <c r="AZ63" s="12">
        <f>IF(AY63=3,1,0)</f>
        <v>0</v>
      </c>
      <c r="BA63" s="12">
        <v>65</v>
      </c>
      <c r="BB63" s="12">
        <v>2</v>
      </c>
      <c r="BC63" s="12">
        <f>IF(BB63=2,1,0)</f>
        <v>1</v>
      </c>
      <c r="BD63" s="12">
        <v>10</v>
      </c>
      <c r="BE63" s="12">
        <f>L63-BD63</f>
        <v>172</v>
      </c>
      <c r="BF63" s="12"/>
      <c r="BG63" s="12">
        <v>3</v>
      </c>
      <c r="BH63" s="12">
        <f>IF(BG63=2,1,0)</f>
        <v>0</v>
      </c>
      <c r="BI63" s="12">
        <v>854</v>
      </c>
      <c r="BJ63" s="12">
        <f>S63+V63+Y63+AB63+AE63+AH63+AK63+AN63+AQ63+AT63+AW63+AZ63+BC63+BH63</f>
        <v>5</v>
      </c>
      <c r="BK63" s="12">
        <f>T63+W63+Z63+AC63+AF63+AI63+AL63+AO63+AR63+AU63+AX63+BA63+BD63+BI63</f>
        <v>1926</v>
      </c>
      <c r="BL63" s="12">
        <v>4</v>
      </c>
      <c r="BM63" s="12">
        <v>4</v>
      </c>
      <c r="BN63" s="12">
        <v>4</v>
      </c>
      <c r="BO63" s="12">
        <v>4</v>
      </c>
      <c r="BP63" s="12">
        <v>4</v>
      </c>
      <c r="BQ63" s="12">
        <v>4</v>
      </c>
      <c r="BR63" s="12">
        <v>4</v>
      </c>
      <c r="BS63" s="12">
        <v>4</v>
      </c>
      <c r="BT63" s="12">
        <v>4</v>
      </c>
      <c r="BU63" s="12">
        <v>3</v>
      </c>
      <c r="BV63" s="12">
        <v>4</v>
      </c>
      <c r="BW63" s="12">
        <v>4</v>
      </c>
      <c r="BX63" s="12">
        <v>4</v>
      </c>
      <c r="BY63" s="12">
        <v>3</v>
      </c>
      <c r="BZ63" s="12">
        <v>4</v>
      </c>
      <c r="CA63" s="12">
        <v>3</v>
      </c>
      <c r="CB63" s="12">
        <v>4</v>
      </c>
      <c r="CC63" s="12">
        <v>3</v>
      </c>
      <c r="CD63" s="12">
        <v>4</v>
      </c>
      <c r="CE63" s="12">
        <v>4</v>
      </c>
      <c r="CF63" s="12">
        <v>4</v>
      </c>
      <c r="CG63" s="12">
        <v>3</v>
      </c>
      <c r="CH63" s="12">
        <v>4</v>
      </c>
      <c r="CI63" s="12">
        <v>4</v>
      </c>
      <c r="CJ63" s="12">
        <v>2</v>
      </c>
      <c r="CK63" s="12">
        <v>4</v>
      </c>
      <c r="CL63" s="12">
        <v>3</v>
      </c>
      <c r="CM63" s="12">
        <v>4</v>
      </c>
      <c r="CN63" s="12">
        <v>4</v>
      </c>
      <c r="CO63" s="12">
        <v>4</v>
      </c>
    </row>
    <row r="64" spans="1:93" x14ac:dyDescent="0.25">
      <c r="A64" s="37" t="s">
        <v>464</v>
      </c>
      <c r="B64" s="37">
        <v>1</v>
      </c>
      <c r="C64" s="38">
        <v>47</v>
      </c>
      <c r="D64" s="38">
        <v>1</v>
      </c>
      <c r="E64" s="38">
        <v>0</v>
      </c>
      <c r="F64" s="38">
        <v>1</v>
      </c>
      <c r="G64" s="38">
        <v>3</v>
      </c>
      <c r="H64" s="38">
        <v>0</v>
      </c>
      <c r="I64" s="38">
        <v>1</v>
      </c>
      <c r="J64" s="38"/>
      <c r="K64" s="38">
        <v>2</v>
      </c>
      <c r="L64" s="38">
        <v>82</v>
      </c>
      <c r="M64" s="35">
        <f>IF(K64=2,1,0)</f>
        <v>1</v>
      </c>
      <c r="N64" s="35">
        <v>6</v>
      </c>
      <c r="O64" s="35">
        <v>8</v>
      </c>
      <c r="P64" s="35">
        <v>4</v>
      </c>
      <c r="Q64" s="35">
        <v>6</v>
      </c>
      <c r="R64" s="38">
        <v>4</v>
      </c>
      <c r="S64" s="35">
        <f>IF(R64=4,1,0)</f>
        <v>1</v>
      </c>
      <c r="T64" s="38">
        <v>21</v>
      </c>
      <c r="U64" s="38">
        <v>6</v>
      </c>
      <c r="V64" s="35">
        <f>IF(U64=6,1,0)</f>
        <v>1</v>
      </c>
      <c r="W64" s="38">
        <v>3</v>
      </c>
      <c r="X64" s="38">
        <v>2000</v>
      </c>
      <c r="Y64" s="35">
        <f>IF(X64=2000,1,0)</f>
        <v>1</v>
      </c>
      <c r="Z64" s="38">
        <v>5</v>
      </c>
      <c r="AA64" s="38">
        <v>2524.9499999999998</v>
      </c>
      <c r="AB64" s="35">
        <f>IF(AA64=2524.95,1,0)</f>
        <v>1</v>
      </c>
      <c r="AC64" s="38">
        <v>11</v>
      </c>
      <c r="AD64" s="38">
        <v>1980.23</v>
      </c>
      <c r="AE64" s="35">
        <f>IF(AD64=1980.23,1,0)</f>
        <v>1</v>
      </c>
      <c r="AF64" s="38">
        <v>24</v>
      </c>
      <c r="AG64" s="38">
        <v>1</v>
      </c>
      <c r="AH64" s="35">
        <f>IF(AG64=1,1,0)</f>
        <v>1</v>
      </c>
      <c r="AI64" s="38">
        <v>12</v>
      </c>
      <c r="AJ64" s="38">
        <v>0</v>
      </c>
      <c r="AK64" s="35">
        <f>IF(AJ64=0,1,0)</f>
        <v>1</v>
      </c>
      <c r="AL64" s="38">
        <v>13</v>
      </c>
      <c r="AM64" s="38">
        <v>0</v>
      </c>
      <c r="AN64" s="35">
        <f>IF(AM64=0,1,0)</f>
        <v>1</v>
      </c>
      <c r="AO64" s="38">
        <v>16</v>
      </c>
      <c r="AP64" s="38">
        <v>2</v>
      </c>
      <c r="AQ64" s="35">
        <f>IF(AP64=0,1,0)</f>
        <v>0</v>
      </c>
      <c r="AR64" s="38">
        <v>14</v>
      </c>
      <c r="AS64" s="38">
        <v>2</v>
      </c>
      <c r="AT64" s="35">
        <f>IF(AS64=2,1,0)</f>
        <v>1</v>
      </c>
      <c r="AU64" s="38">
        <v>15</v>
      </c>
      <c r="AV64" s="38">
        <v>1</v>
      </c>
      <c r="AW64" s="35">
        <f>IF(AV64=1,1,0)</f>
        <v>1</v>
      </c>
      <c r="AX64" s="38">
        <v>5</v>
      </c>
      <c r="AY64" s="38">
        <v>0</v>
      </c>
      <c r="AZ64" s="35">
        <f>IF(AY64=3,1,0)</f>
        <v>0</v>
      </c>
      <c r="BA64" s="38">
        <v>30</v>
      </c>
      <c r="BB64" s="38">
        <v>2</v>
      </c>
      <c r="BC64" s="35">
        <f>IF(BB64=2,1,0)</f>
        <v>1</v>
      </c>
      <c r="BD64" s="38">
        <v>22</v>
      </c>
      <c r="BE64" s="35">
        <f>L64-BD64</f>
        <v>60</v>
      </c>
      <c r="BF64" s="38"/>
      <c r="BG64" s="38">
        <v>3</v>
      </c>
      <c r="BH64" s="35">
        <f>IF(BG64=2,1,0)</f>
        <v>0</v>
      </c>
      <c r="BI64" s="38">
        <v>79</v>
      </c>
      <c r="BJ64" s="35">
        <f>S64+V64+Y64+AB64+AE64+AH64+AK64+AN64+AQ64+AT64+AW64+AZ64+BC64+BH64</f>
        <v>11</v>
      </c>
      <c r="BK64" s="35">
        <f>T64+W64+Z64+AC64+AF64+AI64+AL64+AO64+AR64+AU64+AX64+BA64+BD64+BI64</f>
        <v>270</v>
      </c>
      <c r="BL64" s="38">
        <v>2</v>
      </c>
      <c r="BM64" s="38">
        <v>1</v>
      </c>
      <c r="BN64" s="38">
        <v>1</v>
      </c>
      <c r="BO64" s="38">
        <v>2</v>
      </c>
      <c r="BP64" s="38">
        <v>2</v>
      </c>
      <c r="BQ64" s="38">
        <v>3</v>
      </c>
      <c r="BR64" s="38">
        <v>3</v>
      </c>
      <c r="BS64" s="38">
        <v>3</v>
      </c>
      <c r="BT64" s="38">
        <v>3</v>
      </c>
      <c r="BU64" s="38">
        <v>3</v>
      </c>
      <c r="BV64" s="38">
        <v>2</v>
      </c>
      <c r="BW64" s="38">
        <v>3</v>
      </c>
      <c r="BX64" s="38">
        <v>3</v>
      </c>
      <c r="BY64" s="38">
        <v>3</v>
      </c>
      <c r="BZ64" s="38">
        <v>2</v>
      </c>
      <c r="CA64" s="38">
        <v>3</v>
      </c>
      <c r="CB64" s="38">
        <v>2</v>
      </c>
      <c r="CC64" s="38">
        <v>2</v>
      </c>
      <c r="CD64" s="38">
        <v>2</v>
      </c>
      <c r="CE64" s="38">
        <v>0</v>
      </c>
      <c r="CF64" s="38">
        <v>0</v>
      </c>
      <c r="CG64" s="38">
        <v>4</v>
      </c>
      <c r="CH64" s="38">
        <v>0</v>
      </c>
      <c r="CI64" s="38">
        <v>1</v>
      </c>
      <c r="CJ64" s="38">
        <v>0</v>
      </c>
      <c r="CK64" s="38">
        <v>3</v>
      </c>
      <c r="CL64" s="38">
        <v>1</v>
      </c>
      <c r="CM64" s="38">
        <v>2</v>
      </c>
      <c r="CN64" s="38">
        <v>3</v>
      </c>
      <c r="CO64" s="38">
        <v>3</v>
      </c>
    </row>
    <row r="65" spans="1:93" x14ac:dyDescent="0.25">
      <c r="A65" s="22" t="s">
        <v>337</v>
      </c>
      <c r="B65" s="22">
        <v>1</v>
      </c>
      <c r="C65" s="12">
        <v>20</v>
      </c>
      <c r="D65" s="12">
        <v>0</v>
      </c>
      <c r="E65" s="12">
        <v>0</v>
      </c>
      <c r="F65" s="12">
        <v>0</v>
      </c>
      <c r="G65" s="12">
        <v>1</v>
      </c>
      <c r="H65" s="12">
        <v>6</v>
      </c>
      <c r="I65" s="12">
        <v>1</v>
      </c>
      <c r="J65" s="12"/>
      <c r="K65" s="12">
        <v>2</v>
      </c>
      <c r="L65" s="12">
        <v>107</v>
      </c>
      <c r="M65" s="12">
        <f>IF(K65=2,1,0)</f>
        <v>1</v>
      </c>
      <c r="N65" s="12">
        <v>6</v>
      </c>
      <c r="O65" s="12">
        <v>8</v>
      </c>
      <c r="P65" s="12">
        <v>5</v>
      </c>
      <c r="Q65" s="12">
        <v>5</v>
      </c>
      <c r="R65" s="12">
        <v>4</v>
      </c>
      <c r="S65" s="12">
        <f>IF(R65=4,1,0)</f>
        <v>1</v>
      </c>
      <c r="T65" s="12">
        <v>60</v>
      </c>
      <c r="U65" s="12">
        <v>6</v>
      </c>
      <c r="V65" s="12">
        <f>IF(U65=6,1,0)</f>
        <v>1</v>
      </c>
      <c r="W65" s="12">
        <v>6</v>
      </c>
      <c r="X65" s="12">
        <v>2000</v>
      </c>
      <c r="Y65" s="12">
        <f>IF(X65=2000,1,0)</f>
        <v>1</v>
      </c>
      <c r="Z65" s="12">
        <v>9</v>
      </c>
      <c r="AA65" s="12">
        <v>2524.9499999999998</v>
      </c>
      <c r="AB65" s="12">
        <f>IF(AA65=2524.95,1,0)</f>
        <v>1</v>
      </c>
      <c r="AC65" s="12">
        <v>51</v>
      </c>
      <c r="AD65" s="12">
        <v>1980.23</v>
      </c>
      <c r="AE65" s="12">
        <f>IF(AD65=1980.23,1,0)</f>
        <v>1</v>
      </c>
      <c r="AF65" s="12">
        <v>41</v>
      </c>
      <c r="AG65" s="12">
        <v>1</v>
      </c>
      <c r="AH65" s="12">
        <f>IF(AG65=1,1,0)</f>
        <v>1</v>
      </c>
      <c r="AI65" s="12">
        <v>3</v>
      </c>
      <c r="AJ65" s="12">
        <v>0</v>
      </c>
      <c r="AK65" s="12">
        <f>IF(AJ65=0,1,0)</f>
        <v>1</v>
      </c>
      <c r="AL65" s="12">
        <v>26</v>
      </c>
      <c r="AM65" s="12">
        <v>0</v>
      </c>
      <c r="AN65" s="12">
        <f>IF(AM65=0,1,0)</f>
        <v>1</v>
      </c>
      <c r="AO65" s="12">
        <v>25</v>
      </c>
      <c r="AP65" s="12">
        <v>0</v>
      </c>
      <c r="AQ65" s="12">
        <f>IF(AP65=0,1,0)</f>
        <v>1</v>
      </c>
      <c r="AR65" s="12">
        <v>19</v>
      </c>
      <c r="AS65" s="12">
        <v>1</v>
      </c>
      <c r="AT65" s="12">
        <f>IF(AS65=2,1,0)</f>
        <v>0</v>
      </c>
      <c r="AU65" s="12">
        <v>46</v>
      </c>
      <c r="AV65" s="12">
        <v>1</v>
      </c>
      <c r="AW65" s="12">
        <f>IF(AV65=1,1,0)</f>
        <v>1</v>
      </c>
      <c r="AX65" s="12">
        <v>11</v>
      </c>
      <c r="AY65" s="12">
        <v>3</v>
      </c>
      <c r="AZ65" s="12">
        <f>IF(AY65=3,1,0)</f>
        <v>1</v>
      </c>
      <c r="BA65" s="12">
        <v>30</v>
      </c>
      <c r="BB65" s="12">
        <v>2</v>
      </c>
      <c r="BC65" s="12">
        <f>IF(BB65=2,1,0)</f>
        <v>1</v>
      </c>
      <c r="BD65" s="12">
        <v>44</v>
      </c>
      <c r="BE65" s="12">
        <f>L65-BD65</f>
        <v>63</v>
      </c>
      <c r="BF65" s="12"/>
      <c r="BG65" s="12">
        <v>0</v>
      </c>
      <c r="BH65" s="12">
        <f>IF(BG65=2,1,0)</f>
        <v>0</v>
      </c>
      <c r="BI65" s="12">
        <v>148</v>
      </c>
      <c r="BJ65" s="12">
        <f>S65+V65+Y65+AB65+AE65+AH65+AK65+AN65+AQ65+AT65+AW65+AZ65+BC65+BH65</f>
        <v>12</v>
      </c>
      <c r="BK65" s="12">
        <f>T65+W65+Z65+AC65+AF65+AI65+AL65+AO65+AR65+AU65+AX65+BA65+BD65+BI65</f>
        <v>519</v>
      </c>
      <c r="BL65" s="12">
        <v>4</v>
      </c>
      <c r="BM65" s="12">
        <v>3</v>
      </c>
      <c r="BN65" s="12">
        <v>4</v>
      </c>
      <c r="BO65" s="12">
        <v>4</v>
      </c>
      <c r="BP65" s="12">
        <v>4</v>
      </c>
      <c r="BQ65" s="12">
        <v>3</v>
      </c>
      <c r="BR65" s="12">
        <v>4</v>
      </c>
      <c r="BS65" s="12">
        <v>4</v>
      </c>
      <c r="BT65" s="12">
        <v>4</v>
      </c>
      <c r="BU65" s="12">
        <v>4</v>
      </c>
      <c r="BV65" s="12">
        <v>4</v>
      </c>
      <c r="BW65" s="12">
        <v>4</v>
      </c>
      <c r="BX65" s="12">
        <v>4</v>
      </c>
      <c r="BY65" s="12">
        <v>4</v>
      </c>
      <c r="BZ65" s="12">
        <v>4</v>
      </c>
      <c r="CA65" s="12">
        <v>4</v>
      </c>
      <c r="CB65" s="12">
        <v>2</v>
      </c>
      <c r="CC65" s="12">
        <v>1</v>
      </c>
      <c r="CD65" s="12">
        <v>4</v>
      </c>
      <c r="CE65" s="12">
        <v>3</v>
      </c>
      <c r="CF65" s="12">
        <v>4</v>
      </c>
      <c r="CG65" s="12">
        <v>4</v>
      </c>
      <c r="CH65" s="12">
        <v>4</v>
      </c>
      <c r="CI65" s="12">
        <v>4</v>
      </c>
      <c r="CJ65" s="12">
        <v>3</v>
      </c>
      <c r="CK65" s="12">
        <v>4</v>
      </c>
      <c r="CL65" s="12">
        <v>4</v>
      </c>
      <c r="CM65" s="12">
        <v>4</v>
      </c>
      <c r="CN65" s="12">
        <v>4</v>
      </c>
      <c r="CO65" s="12">
        <v>4</v>
      </c>
    </row>
    <row r="66" spans="1:93" x14ac:dyDescent="0.25">
      <c r="A66" s="22" t="s">
        <v>338</v>
      </c>
      <c r="B66" s="22">
        <v>1</v>
      </c>
      <c r="C66" s="12">
        <v>34</v>
      </c>
      <c r="D66" s="12">
        <v>1</v>
      </c>
      <c r="E66" s="12">
        <v>0</v>
      </c>
      <c r="F66" s="12">
        <v>1</v>
      </c>
      <c r="G66" s="12">
        <v>2</v>
      </c>
      <c r="H66" s="12">
        <v>0</v>
      </c>
      <c r="I66" s="12">
        <v>1</v>
      </c>
      <c r="J66" s="12"/>
      <c r="K66" s="12">
        <v>2</v>
      </c>
      <c r="L66" s="12">
        <v>92</v>
      </c>
      <c r="M66" s="12">
        <f>IF(K66=2,1,0)</f>
        <v>1</v>
      </c>
      <c r="N66" s="12">
        <v>5</v>
      </c>
      <c r="O66" s="12">
        <v>9</v>
      </c>
      <c r="P66" s="12">
        <v>9</v>
      </c>
      <c r="Q66" s="12">
        <v>6</v>
      </c>
      <c r="R66" s="12">
        <v>4</v>
      </c>
      <c r="S66" s="12">
        <f>IF(R66=4,1,0)</f>
        <v>1</v>
      </c>
      <c r="T66" s="12">
        <v>29</v>
      </c>
      <c r="U66" s="12">
        <v>0.06</v>
      </c>
      <c r="V66" s="12">
        <v>1</v>
      </c>
      <c r="W66" s="12">
        <v>14</v>
      </c>
      <c r="X66" s="12">
        <v>2000</v>
      </c>
      <c r="Y66" s="12">
        <f>IF(X66=2000,1,0)</f>
        <v>1</v>
      </c>
      <c r="Z66" s="12">
        <v>16</v>
      </c>
      <c r="AA66" s="12">
        <v>2524.9499999999998</v>
      </c>
      <c r="AB66" s="12">
        <f>IF(AA66=2524.95,1,0)</f>
        <v>1</v>
      </c>
      <c r="AC66" s="12">
        <v>30</v>
      </c>
      <c r="AD66" s="12">
        <v>1980.23</v>
      </c>
      <c r="AE66" s="12">
        <f>IF(AD66=1980.23,1,0)</f>
        <v>1</v>
      </c>
      <c r="AF66" s="12">
        <v>61</v>
      </c>
      <c r="AG66" s="12">
        <v>0</v>
      </c>
      <c r="AH66" s="12">
        <f>IF(AG66=1,1,0)</f>
        <v>0</v>
      </c>
      <c r="AI66" s="12">
        <v>24</v>
      </c>
      <c r="AJ66" s="12">
        <v>0</v>
      </c>
      <c r="AK66" s="12">
        <f>IF(AJ66=0,1,0)</f>
        <v>1</v>
      </c>
      <c r="AL66" s="12">
        <v>27</v>
      </c>
      <c r="AM66" s="12">
        <v>3</v>
      </c>
      <c r="AN66" s="12">
        <f>IF(AM66=0,1,0)</f>
        <v>0</v>
      </c>
      <c r="AO66" s="12">
        <v>59</v>
      </c>
      <c r="AP66" s="12">
        <v>0</v>
      </c>
      <c r="AQ66" s="12">
        <f>IF(AP66=0,1,0)</f>
        <v>1</v>
      </c>
      <c r="AR66" s="12">
        <v>44</v>
      </c>
      <c r="AS66" s="12">
        <v>3</v>
      </c>
      <c r="AT66" s="12">
        <f>IF(AS66=2,1,0)</f>
        <v>0</v>
      </c>
      <c r="AU66" s="12">
        <v>71</v>
      </c>
      <c r="AV66" s="12">
        <v>1</v>
      </c>
      <c r="AW66" s="12">
        <f>IF(AV66=1,1,0)</f>
        <v>1</v>
      </c>
      <c r="AX66" s="12">
        <v>9</v>
      </c>
      <c r="AY66" s="12">
        <v>3</v>
      </c>
      <c r="AZ66" s="12">
        <f>IF(AY66=3,1,0)</f>
        <v>1</v>
      </c>
      <c r="BA66" s="12">
        <v>170</v>
      </c>
      <c r="BB66" s="12">
        <v>2</v>
      </c>
      <c r="BC66" s="12">
        <f>IF(BB66=2,1,0)</f>
        <v>1</v>
      </c>
      <c r="BD66" s="12">
        <v>31</v>
      </c>
      <c r="BE66" s="12">
        <f>L66-BD66</f>
        <v>61</v>
      </c>
      <c r="BF66" s="12"/>
      <c r="BG66" s="12">
        <v>2</v>
      </c>
      <c r="BH66" s="12">
        <f>IF(BG66=2,1,0)</f>
        <v>1</v>
      </c>
      <c r="BI66" s="12">
        <v>350</v>
      </c>
      <c r="BJ66" s="12">
        <f>S66+V66+Y66+AB66+AE66+AH66+AK66+AN66+AQ66+AT66+AW66+AZ66+BC66+BH66</f>
        <v>11</v>
      </c>
      <c r="BK66" s="12">
        <f>T66+W66+Z66+AC66+AF66+AI66+AL66+AO66+AR66+AU66+AX66+BA66+BD66+BI66</f>
        <v>935</v>
      </c>
      <c r="BL66" s="12">
        <v>4</v>
      </c>
      <c r="BM66" s="12">
        <v>3</v>
      </c>
      <c r="BN66" s="12">
        <v>3</v>
      </c>
      <c r="BO66" s="12">
        <v>3</v>
      </c>
      <c r="BP66" s="12">
        <v>4</v>
      </c>
      <c r="BQ66" s="12">
        <v>4</v>
      </c>
      <c r="BR66" s="12">
        <v>3</v>
      </c>
      <c r="BS66" s="12">
        <v>3</v>
      </c>
      <c r="BT66" s="12">
        <v>3</v>
      </c>
      <c r="BU66" s="12">
        <v>4</v>
      </c>
      <c r="BV66" s="12">
        <v>4</v>
      </c>
      <c r="BW66" s="12">
        <v>4</v>
      </c>
      <c r="BX66" s="12">
        <v>3</v>
      </c>
      <c r="BY66" s="12">
        <v>4</v>
      </c>
      <c r="BZ66" s="12">
        <v>4</v>
      </c>
      <c r="CA66" s="12">
        <v>4</v>
      </c>
      <c r="CB66" s="12">
        <v>4</v>
      </c>
      <c r="CC66" s="12">
        <v>3</v>
      </c>
      <c r="CD66" s="12">
        <v>4</v>
      </c>
      <c r="CE66" s="12">
        <v>3</v>
      </c>
      <c r="CF66" s="12">
        <v>3</v>
      </c>
      <c r="CG66" s="12">
        <v>3</v>
      </c>
      <c r="CH66" s="12">
        <v>2</v>
      </c>
      <c r="CI66" s="12">
        <v>4</v>
      </c>
      <c r="CJ66" s="12">
        <v>2</v>
      </c>
      <c r="CK66" s="12">
        <v>4</v>
      </c>
      <c r="CL66" s="12">
        <v>4</v>
      </c>
      <c r="CM66" s="12">
        <v>4</v>
      </c>
      <c r="CN66" s="12">
        <v>4</v>
      </c>
      <c r="CO66" s="12">
        <v>4</v>
      </c>
    </row>
    <row r="67" spans="1:93" x14ac:dyDescent="0.25">
      <c r="A67" s="22" t="s">
        <v>339</v>
      </c>
      <c r="B67" s="22">
        <v>1</v>
      </c>
      <c r="C67" s="12">
        <v>51</v>
      </c>
      <c r="D67" s="12">
        <v>1</v>
      </c>
      <c r="E67" s="12">
        <v>0</v>
      </c>
      <c r="F67" s="12">
        <v>0</v>
      </c>
      <c r="G67" s="12">
        <v>1</v>
      </c>
      <c r="H67" s="12">
        <v>0</v>
      </c>
      <c r="I67" s="12">
        <v>1</v>
      </c>
      <c r="J67" s="12"/>
      <c r="K67" s="12">
        <v>3</v>
      </c>
      <c r="L67" s="12">
        <v>131</v>
      </c>
      <c r="M67" s="12">
        <f>IF(K67=2,1,0)</f>
        <v>0</v>
      </c>
      <c r="N67" s="12">
        <v>3</v>
      </c>
      <c r="O67" s="12">
        <v>8</v>
      </c>
      <c r="P67" s="12">
        <v>10</v>
      </c>
      <c r="Q67" s="12">
        <v>2</v>
      </c>
      <c r="R67" s="12">
        <v>4</v>
      </c>
      <c r="S67" s="12">
        <f>IF(R67=4,1,0)</f>
        <v>1</v>
      </c>
      <c r="T67" s="12">
        <v>15</v>
      </c>
      <c r="U67" s="12">
        <v>0.06</v>
      </c>
      <c r="V67" s="12">
        <v>1</v>
      </c>
      <c r="W67" s="12">
        <v>14</v>
      </c>
      <c r="X67" s="12">
        <v>2000</v>
      </c>
      <c r="Y67" s="12">
        <f>IF(X67=2000,1,0)</f>
        <v>1</v>
      </c>
      <c r="Z67" s="12">
        <v>29</v>
      </c>
      <c r="AA67" s="12">
        <v>2524.9499999999998</v>
      </c>
      <c r="AB67" s="12">
        <f>IF(AA67=2524.95,1,0)</f>
        <v>1</v>
      </c>
      <c r="AC67" s="12">
        <v>811</v>
      </c>
      <c r="AD67" s="12">
        <v>1980.23</v>
      </c>
      <c r="AE67" s="12">
        <f>IF(AD67=1980.23,1,0)</f>
        <v>1</v>
      </c>
      <c r="AF67" s="12">
        <v>205</v>
      </c>
      <c r="AG67" s="12">
        <v>0</v>
      </c>
      <c r="AH67" s="12">
        <f>IF(AG67=1,1,0)</f>
        <v>0</v>
      </c>
      <c r="AI67" s="12">
        <v>9</v>
      </c>
      <c r="AJ67" s="12">
        <v>0</v>
      </c>
      <c r="AK67" s="12">
        <f>IF(AJ67=0,1,0)</f>
        <v>1</v>
      </c>
      <c r="AL67" s="12">
        <v>18</v>
      </c>
      <c r="AM67" s="12">
        <v>0</v>
      </c>
      <c r="AN67" s="12">
        <f>IF(AM67=0,1,0)</f>
        <v>1</v>
      </c>
      <c r="AO67" s="12">
        <v>27</v>
      </c>
      <c r="AP67" s="12">
        <v>2</v>
      </c>
      <c r="AQ67" s="12">
        <f>IF(AP67=0,1,0)</f>
        <v>0</v>
      </c>
      <c r="AR67" s="12">
        <v>17</v>
      </c>
      <c r="AS67" s="12">
        <v>3</v>
      </c>
      <c r="AT67" s="12">
        <f>IF(AS67=2,1,0)</f>
        <v>0</v>
      </c>
      <c r="AU67" s="12">
        <v>21</v>
      </c>
      <c r="AV67" s="12">
        <v>1</v>
      </c>
      <c r="AW67" s="12">
        <f>IF(AV67=1,1,0)</f>
        <v>1</v>
      </c>
      <c r="AX67" s="12">
        <v>7</v>
      </c>
      <c r="AY67" s="12">
        <v>3</v>
      </c>
      <c r="AZ67" s="12">
        <f>IF(AY67=3,1,0)</f>
        <v>1</v>
      </c>
      <c r="BA67" s="12">
        <v>24</v>
      </c>
      <c r="BB67" s="12">
        <v>2</v>
      </c>
      <c r="BC67" s="12">
        <f>IF(BB67=2,1,0)</f>
        <v>1</v>
      </c>
      <c r="BD67" s="12">
        <v>76</v>
      </c>
      <c r="BE67" s="12">
        <f>L67-BD67</f>
        <v>55</v>
      </c>
      <c r="BF67" s="12"/>
      <c r="BG67" s="12">
        <v>0</v>
      </c>
      <c r="BH67" s="12">
        <f>IF(BG67=2,1,0)</f>
        <v>0</v>
      </c>
      <c r="BI67" s="12">
        <v>337</v>
      </c>
      <c r="BJ67" s="12">
        <f>S67+V67+Y67+AB67+AE67+AH67+AK67+AN67+AQ67+AT67+AW67+AZ67+BC67+BH67</f>
        <v>10</v>
      </c>
      <c r="BK67" s="12">
        <f>T67+W67+Z67+AC67+AF67+AI67+AL67+AO67+AR67+AU67+AX67+BA67+BD67+BI67</f>
        <v>1610</v>
      </c>
      <c r="BL67" s="12">
        <v>4</v>
      </c>
      <c r="BM67" s="12">
        <v>4</v>
      </c>
      <c r="BN67" s="12">
        <v>4</v>
      </c>
      <c r="BO67" s="12">
        <v>4</v>
      </c>
      <c r="BP67" s="12">
        <v>4</v>
      </c>
      <c r="BQ67" s="12">
        <v>4</v>
      </c>
      <c r="BR67" s="12">
        <v>4</v>
      </c>
      <c r="BS67" s="12">
        <v>4</v>
      </c>
      <c r="BT67" s="12">
        <v>4</v>
      </c>
      <c r="BU67" s="12">
        <v>4</v>
      </c>
      <c r="BV67" s="12">
        <v>4</v>
      </c>
      <c r="BW67" s="12">
        <v>4</v>
      </c>
      <c r="BX67" s="12">
        <v>4</v>
      </c>
      <c r="BY67" s="12">
        <v>3</v>
      </c>
      <c r="BZ67" s="12">
        <v>4</v>
      </c>
      <c r="CA67" s="12">
        <v>4</v>
      </c>
      <c r="CB67" s="12">
        <v>4</v>
      </c>
      <c r="CC67" s="12">
        <v>3</v>
      </c>
      <c r="CD67" s="12">
        <v>4</v>
      </c>
      <c r="CE67" s="12">
        <v>2</v>
      </c>
      <c r="CF67" s="12">
        <v>4</v>
      </c>
      <c r="CG67" s="12">
        <v>4</v>
      </c>
      <c r="CH67" s="12">
        <v>4</v>
      </c>
      <c r="CI67" s="12">
        <v>4</v>
      </c>
      <c r="CJ67" s="12">
        <v>4</v>
      </c>
      <c r="CK67" s="12">
        <v>4</v>
      </c>
      <c r="CL67" s="12">
        <v>4</v>
      </c>
      <c r="CM67" s="12">
        <v>4</v>
      </c>
      <c r="CN67" s="12">
        <v>4</v>
      </c>
      <c r="CO67" s="12">
        <v>4</v>
      </c>
    </row>
    <row r="68" spans="1:93" x14ac:dyDescent="0.25">
      <c r="A68" s="22" t="s">
        <v>340</v>
      </c>
      <c r="B68" s="22">
        <v>1</v>
      </c>
      <c r="C68" s="12">
        <v>21</v>
      </c>
      <c r="D68" s="12">
        <v>0</v>
      </c>
      <c r="E68" s="12">
        <v>1</v>
      </c>
      <c r="F68" s="12">
        <v>0</v>
      </c>
      <c r="G68" s="12">
        <v>1</v>
      </c>
      <c r="H68" s="12">
        <v>0</v>
      </c>
      <c r="I68" s="12">
        <v>0</v>
      </c>
      <c r="J68" s="12">
        <v>0</v>
      </c>
      <c r="K68" s="12">
        <v>2</v>
      </c>
      <c r="L68" s="12">
        <v>63</v>
      </c>
      <c r="M68" s="12">
        <f>IF(K68=2,1,0)</f>
        <v>1</v>
      </c>
      <c r="N68" s="12">
        <v>4</v>
      </c>
      <c r="O68" s="12">
        <v>7</v>
      </c>
      <c r="P68" s="12">
        <v>7</v>
      </c>
      <c r="Q68" s="12">
        <v>4</v>
      </c>
      <c r="R68" s="12">
        <v>4</v>
      </c>
      <c r="S68" s="12">
        <f>IF(R68=4,1,0)</f>
        <v>1</v>
      </c>
      <c r="T68" s="12">
        <v>31</v>
      </c>
      <c r="U68" s="12">
        <v>0.06</v>
      </c>
      <c r="V68" s="12">
        <v>1</v>
      </c>
      <c r="W68" s="12">
        <v>20</v>
      </c>
      <c r="X68" s="12">
        <v>2000</v>
      </c>
      <c r="Y68" s="12">
        <f>IF(X68=2000,1,0)</f>
        <v>1</v>
      </c>
      <c r="Z68" s="12">
        <v>12</v>
      </c>
      <c r="AA68" s="12">
        <v>2524.9499999999998</v>
      </c>
      <c r="AB68" s="12">
        <f>IF(AA68=2524.95,1,0)</f>
        <v>1</v>
      </c>
      <c r="AC68" s="12">
        <v>34</v>
      </c>
      <c r="AD68" s="12">
        <v>1980.2</v>
      </c>
      <c r="AE68" s="12">
        <f>IF(AD68=1980.23,1,0)</f>
        <v>0</v>
      </c>
      <c r="AF68" s="12">
        <v>44</v>
      </c>
      <c r="AG68" s="12">
        <v>0</v>
      </c>
      <c r="AH68" s="12">
        <f>IF(AG68=1,1,0)</f>
        <v>0</v>
      </c>
      <c r="AI68" s="12">
        <v>10</v>
      </c>
      <c r="AJ68" s="12">
        <v>0</v>
      </c>
      <c r="AK68" s="12">
        <f>IF(AJ68=0,1,0)</f>
        <v>1</v>
      </c>
      <c r="AL68" s="12">
        <v>20</v>
      </c>
      <c r="AM68" s="12">
        <v>3</v>
      </c>
      <c r="AN68" s="12">
        <f>IF(AM68=0,1,0)</f>
        <v>0</v>
      </c>
      <c r="AO68" s="12">
        <v>34</v>
      </c>
      <c r="AP68" s="12">
        <v>2</v>
      </c>
      <c r="AQ68" s="12">
        <f>IF(AP68=0,1,0)</f>
        <v>0</v>
      </c>
      <c r="AR68" s="12">
        <v>12</v>
      </c>
      <c r="AS68" s="12">
        <v>0</v>
      </c>
      <c r="AT68" s="12">
        <f>IF(AS68=2,1,0)</f>
        <v>0</v>
      </c>
      <c r="AU68" s="12">
        <v>15</v>
      </c>
      <c r="AV68" s="12">
        <v>1</v>
      </c>
      <c r="AW68" s="12">
        <f>IF(AV68=1,1,0)</f>
        <v>1</v>
      </c>
      <c r="AX68" s="12">
        <v>8</v>
      </c>
      <c r="AY68" s="12">
        <v>1</v>
      </c>
      <c r="AZ68" s="12">
        <f>IF(AY68=3,1,0)</f>
        <v>0</v>
      </c>
      <c r="BA68" s="12">
        <v>37</v>
      </c>
      <c r="BB68" s="12">
        <v>2</v>
      </c>
      <c r="BC68" s="12">
        <f>IF(BB68=2,1,0)</f>
        <v>1</v>
      </c>
      <c r="BD68" s="12">
        <v>43</v>
      </c>
      <c r="BE68" s="12">
        <f>L68-BD68</f>
        <v>20</v>
      </c>
      <c r="BF68" s="12"/>
      <c r="BG68" s="12">
        <v>2</v>
      </c>
      <c r="BH68" s="12">
        <f>IF(BG68=2,1,0)</f>
        <v>1</v>
      </c>
      <c r="BI68" s="12">
        <v>141</v>
      </c>
      <c r="BJ68" s="12">
        <f>S68+V68+Y68+AB68+AE68+AH68+AK68+AN68+AQ68+AT68+AW68+AZ68+BC68+BH68</f>
        <v>8</v>
      </c>
      <c r="BK68" s="12">
        <f>T68+W68+Z68+AC68+AF68+AI68+AL68+AO68+AR68+AU68+AX68+BA68+BD68+BI68</f>
        <v>461</v>
      </c>
      <c r="BL68" s="12">
        <v>4</v>
      </c>
      <c r="BM68" s="12">
        <v>3</v>
      </c>
      <c r="BN68" s="12">
        <v>3</v>
      </c>
      <c r="BO68" s="12">
        <v>3</v>
      </c>
      <c r="BP68" s="12">
        <v>3</v>
      </c>
      <c r="BQ68" s="12">
        <v>2</v>
      </c>
      <c r="BR68" s="12">
        <v>4</v>
      </c>
      <c r="BS68" s="12">
        <v>3</v>
      </c>
      <c r="BT68" s="12">
        <v>3</v>
      </c>
      <c r="BU68" s="12">
        <v>4</v>
      </c>
      <c r="BV68" s="12">
        <v>4</v>
      </c>
      <c r="BW68" s="12">
        <v>3</v>
      </c>
      <c r="BX68" s="12">
        <v>3</v>
      </c>
      <c r="BY68" s="12">
        <v>4</v>
      </c>
      <c r="BZ68" s="12">
        <v>4</v>
      </c>
      <c r="CA68" s="12">
        <v>3</v>
      </c>
      <c r="CB68" s="12">
        <v>3</v>
      </c>
      <c r="CC68" s="12">
        <v>2</v>
      </c>
      <c r="CD68" s="12">
        <v>3</v>
      </c>
      <c r="CE68" s="12">
        <v>1</v>
      </c>
      <c r="CF68" s="12">
        <v>2</v>
      </c>
      <c r="CG68" s="12">
        <v>3</v>
      </c>
      <c r="CH68" s="12">
        <v>2</v>
      </c>
      <c r="CI68" s="12">
        <v>4</v>
      </c>
      <c r="CJ68" s="12">
        <v>3</v>
      </c>
      <c r="CK68" s="12">
        <v>4</v>
      </c>
      <c r="CL68" s="12">
        <v>4</v>
      </c>
      <c r="CM68" s="12">
        <v>3</v>
      </c>
      <c r="CN68" s="12">
        <v>3</v>
      </c>
      <c r="CO68" s="12">
        <v>4</v>
      </c>
    </row>
    <row r="69" spans="1:93" x14ac:dyDescent="0.25">
      <c r="A69" s="22" t="s">
        <v>341</v>
      </c>
      <c r="B69" s="22">
        <v>1</v>
      </c>
      <c r="C69" s="12">
        <v>38</v>
      </c>
      <c r="D69" s="12">
        <v>1</v>
      </c>
      <c r="E69" s="12">
        <v>1</v>
      </c>
      <c r="F69" s="12">
        <v>0</v>
      </c>
      <c r="G69" s="12">
        <v>0</v>
      </c>
      <c r="H69" s="12">
        <v>5</v>
      </c>
      <c r="I69" s="12">
        <v>1</v>
      </c>
      <c r="J69" s="12"/>
      <c r="K69" s="12">
        <v>2</v>
      </c>
      <c r="L69" s="12">
        <v>233</v>
      </c>
      <c r="M69" s="12">
        <f>IF(K69=2,1,0)</f>
        <v>1</v>
      </c>
      <c r="N69" s="12">
        <v>7</v>
      </c>
      <c r="O69" s="12">
        <v>3</v>
      </c>
      <c r="P69" s="12">
        <v>9</v>
      </c>
      <c r="Q69" s="12">
        <v>6</v>
      </c>
      <c r="R69" s="12">
        <v>4</v>
      </c>
      <c r="S69" s="12">
        <f>IF(R69=4,1,0)</f>
        <v>1</v>
      </c>
      <c r="T69" s="12">
        <v>172</v>
      </c>
      <c r="U69" s="12">
        <v>6</v>
      </c>
      <c r="V69" s="12">
        <f>IF(U69=6,1,0)</f>
        <v>1</v>
      </c>
      <c r="W69" s="12">
        <v>6</v>
      </c>
      <c r="X69" s="12">
        <v>2000</v>
      </c>
      <c r="Y69" s="12">
        <f>IF(X69=2000,1,0)</f>
        <v>1</v>
      </c>
      <c r="Z69" s="12">
        <v>11</v>
      </c>
      <c r="AA69" s="12">
        <v>2524.9499999999998</v>
      </c>
      <c r="AB69" s="12">
        <f>IF(AA69=2524.95,1,0)</f>
        <v>1</v>
      </c>
      <c r="AC69" s="12">
        <v>20</v>
      </c>
      <c r="AD69" s="12">
        <v>1980.23</v>
      </c>
      <c r="AE69" s="12">
        <f>IF(AD69=1980.23,1,0)</f>
        <v>1</v>
      </c>
      <c r="AF69" s="12">
        <v>16</v>
      </c>
      <c r="AG69" s="12">
        <v>1</v>
      </c>
      <c r="AH69" s="12">
        <f>IF(AG69=1,1,0)</f>
        <v>1</v>
      </c>
      <c r="AI69" s="12">
        <v>12</v>
      </c>
      <c r="AJ69" s="12">
        <v>0</v>
      </c>
      <c r="AK69" s="12">
        <f>IF(AJ69=0,1,0)</f>
        <v>1</v>
      </c>
      <c r="AL69" s="12">
        <v>10</v>
      </c>
      <c r="AM69" s="12">
        <v>0</v>
      </c>
      <c r="AN69" s="12">
        <f>IF(AM69=0,1,0)</f>
        <v>1</v>
      </c>
      <c r="AO69" s="12">
        <v>15</v>
      </c>
      <c r="AP69" s="12">
        <v>0</v>
      </c>
      <c r="AQ69" s="12">
        <f>IF(AP69=0,1,0)</f>
        <v>1</v>
      </c>
      <c r="AR69" s="12">
        <v>12</v>
      </c>
      <c r="AS69" s="12">
        <v>1</v>
      </c>
      <c r="AT69" s="12">
        <f>IF(AS69=2,1,0)</f>
        <v>0</v>
      </c>
      <c r="AU69" s="12">
        <v>14</v>
      </c>
      <c r="AV69" s="12">
        <v>1</v>
      </c>
      <c r="AW69" s="12">
        <f>IF(AV69=1,1,0)</f>
        <v>1</v>
      </c>
      <c r="AX69" s="12">
        <v>21</v>
      </c>
      <c r="AY69" s="12">
        <v>3</v>
      </c>
      <c r="AZ69" s="12">
        <f>IF(AY69=3,1,0)</f>
        <v>1</v>
      </c>
      <c r="BA69" s="12">
        <v>17</v>
      </c>
      <c r="BB69" s="12">
        <v>2</v>
      </c>
      <c r="BC69" s="12">
        <f>IF(BB69=2,1,0)</f>
        <v>1</v>
      </c>
      <c r="BD69" s="12">
        <v>21</v>
      </c>
      <c r="BE69" s="12">
        <f>L69-BD69</f>
        <v>212</v>
      </c>
      <c r="BF69" s="12"/>
      <c r="BG69" s="12">
        <v>0</v>
      </c>
      <c r="BH69" s="12">
        <f>IF(BG69=2,1,0)</f>
        <v>0</v>
      </c>
      <c r="BI69" s="12">
        <v>93</v>
      </c>
      <c r="BJ69" s="12">
        <f>S69+V69+Y69+AB69+AE69+AH69+AK69+AN69+AQ69+AT69+AW69+AZ69+BC69+BH69</f>
        <v>12</v>
      </c>
      <c r="BK69" s="12">
        <f>T69+W69+Z69+AC69+AF69+AI69+AL69+AO69+AR69+AU69+AX69+BA69+BD69+BI69</f>
        <v>440</v>
      </c>
      <c r="BL69" s="12">
        <v>4</v>
      </c>
      <c r="BM69" s="12">
        <v>4</v>
      </c>
      <c r="BN69" s="12">
        <v>4</v>
      </c>
      <c r="BO69" s="12">
        <v>4</v>
      </c>
      <c r="BP69" s="12">
        <v>4</v>
      </c>
      <c r="BQ69" s="12">
        <v>4</v>
      </c>
      <c r="BR69" s="12">
        <v>4</v>
      </c>
      <c r="BS69" s="12">
        <v>3</v>
      </c>
      <c r="BT69" s="12">
        <v>4</v>
      </c>
      <c r="BU69" s="12">
        <v>4</v>
      </c>
      <c r="BV69" s="12">
        <v>4</v>
      </c>
      <c r="BW69" s="12">
        <v>4</v>
      </c>
      <c r="BX69" s="12">
        <v>4</v>
      </c>
      <c r="BY69" s="12">
        <v>4</v>
      </c>
      <c r="BZ69" s="12">
        <v>4</v>
      </c>
      <c r="CA69" s="12">
        <v>3</v>
      </c>
      <c r="CB69" s="12">
        <v>3</v>
      </c>
      <c r="CC69" s="12">
        <v>4</v>
      </c>
      <c r="CD69" s="12">
        <v>4</v>
      </c>
      <c r="CE69" s="12">
        <v>3</v>
      </c>
      <c r="CF69" s="12">
        <v>3</v>
      </c>
      <c r="CG69" s="12">
        <v>2</v>
      </c>
      <c r="CH69" s="12">
        <v>3</v>
      </c>
      <c r="CI69" s="12">
        <v>3</v>
      </c>
      <c r="CJ69" s="12">
        <v>3</v>
      </c>
      <c r="CK69" s="12">
        <v>3</v>
      </c>
      <c r="CL69" s="12">
        <v>3</v>
      </c>
      <c r="CM69" s="12">
        <v>3</v>
      </c>
      <c r="CN69" s="12">
        <v>3</v>
      </c>
      <c r="CO69" s="12">
        <v>3</v>
      </c>
    </row>
    <row r="70" spans="1:93" x14ac:dyDescent="0.25">
      <c r="BL70" s="39">
        <f>AVERAGE(BL30:BP69)</f>
        <v>3.15</v>
      </c>
      <c r="BQ70" s="39">
        <f>AVERAGE(BQ30:BT69)</f>
        <v>3.3312499999999998</v>
      </c>
      <c r="BU70" s="39">
        <f>AVERAGE(BU30:BW69)</f>
        <v>3.5916666666666668</v>
      </c>
      <c r="BX70" s="39">
        <f>AVERAGE(BX30:CB69)</f>
        <v>3.32</v>
      </c>
      <c r="CC70" s="39">
        <f>AVERAGE(CC30:CE69)</f>
        <v>2.7749999999999999</v>
      </c>
      <c r="CF70" s="39">
        <f>AVERAGE(CF30:CJ69)</f>
        <v>2.7349999999999999</v>
      </c>
      <c r="CK70" s="39">
        <f>AVERAGE(CK30:CO69)</f>
        <v>3.29</v>
      </c>
    </row>
    <row r="71" spans="1:93" x14ac:dyDescent="0.25">
      <c r="BL71">
        <f>STDEV(BL30:BP69)</f>
        <v>1.001255493275353</v>
      </c>
      <c r="BQ71">
        <f>STDEV(BQ30:BT69)</f>
        <v>0.82965382642287178</v>
      </c>
      <c r="BU71">
        <f>STDEV(BU30:BW69)</f>
        <v>0.76142097735871705</v>
      </c>
      <c r="BX71">
        <f>STDEV(BX30:CB69)</f>
        <v>0.81296034504338843</v>
      </c>
      <c r="CC71">
        <f>STDEV(CC30:CE69)</f>
        <v>1.1261781879100525</v>
      </c>
      <c r="CF71">
        <f>STDEV(CF30:CJ69)</f>
        <v>1.0773012064632788</v>
      </c>
      <c r="CK71">
        <f>STDEV(CK30:CN69)+STDEV(CK30:CO69)</f>
        <v>1.6076770788949899</v>
      </c>
    </row>
  </sheetData>
  <autoFilter ref="A1:CO69" xr:uid="{A3C67F49-0270-5349-8C7E-BA7C607F0EAC}">
    <sortState ref="A2:CO71">
      <sortCondition ref="A1:A69"/>
    </sortState>
  </autoFilter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8B124-022C-1146-A907-5B8BBD0D4968}">
  <dimension ref="A1"/>
  <sheetViews>
    <sheetView workbookViewId="0">
      <selection activeCell="A2" sqref="A2"/>
    </sheetView>
  </sheetViews>
  <sheetFormatPr defaultColWidth="11.42578125" defaultRowHeight="15" x14ac:dyDescent="0.25"/>
  <sheetData>
    <row r="1" spans="1:1" x14ac:dyDescent="0.25">
      <c r="A1">
        <f>10/14</f>
        <v>0.7142857142857143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Control </vt:lpstr>
      <vt:lpstr>Experiment</vt:lpstr>
      <vt:lpstr>Composite</vt:lpstr>
      <vt:lpstr>Composite No Lines</vt:lpstr>
      <vt:lpstr>ID</vt:lpstr>
      <vt:lpstr>Legend</vt:lpstr>
      <vt:lpstr>Notes</vt:lpstr>
      <vt:lpstr>Transposed Data</vt:lpstr>
      <vt:lpstr>Sheet1</vt:lpstr>
      <vt:lpstr>Legend!Print_Area</vt:lpstr>
    </vt:vector>
  </TitlesOfParts>
  <Company>Southern Cross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Kayleen Wood</dc:creator>
  <cp:lastModifiedBy>kwood</cp:lastModifiedBy>
  <cp:lastPrinted>2019-04-23T05:47:13Z</cp:lastPrinted>
  <dcterms:created xsi:type="dcterms:W3CDTF">2019-03-14T23:49:56Z</dcterms:created>
  <dcterms:modified xsi:type="dcterms:W3CDTF">2019-07-16T04:35:35Z</dcterms:modified>
</cp:coreProperties>
</file>